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Test\"/>
    </mc:Choice>
  </mc:AlternateContent>
  <xr:revisionPtr revIDLastSave="0" documentId="13_ncr:1_{73A623F3-497B-4D79-96B1-8D9A1E47ADFC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DATA" sheetId="1" r:id="rId1"/>
    <sheet name="mq" sheetId="2" r:id="rId2"/>
    <sheet name="trillions" sheetId="3" r:id="rId3"/>
    <sheet name="princess" sheetId="4" r:id="rId4"/>
    <sheet name="rose cut" sheetId="5" r:id="rId5"/>
    <sheet name="round" sheetId="6" r:id="rId6"/>
    <sheet name="pan" sheetId="7" r:id="rId7"/>
    <sheet name="pie cut" sheetId="8" r:id="rId8"/>
    <sheet name="heart" sheetId="9" r:id="rId9"/>
    <sheet name="oval" sheetId="10" r:id="rId10"/>
    <sheet name="bag" sheetId="11" r:id="rId11"/>
    <sheet name="rose cut pan" sheetId="12" r:id="rId12"/>
    <sheet name="rose cut chakri" sheetId="13" r:id="rId13"/>
    <sheet name="tappers" sheetId="14" r:id="rId14"/>
    <sheet name="emrald" sheetId="15" r:id="rId15"/>
    <sheet name="sheild" sheetId="16" r:id="rId16"/>
  </sheets>
  <definedNames>
    <definedName name="_xlnm._FilterDatabase" localSheetId="0" hidden="1">DATA!$A$1:$W$390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90" i="1" l="1"/>
  <c r="M389" i="1"/>
  <c r="M388" i="1"/>
  <c r="M387" i="1"/>
  <c r="M386" i="1"/>
  <c r="M385" i="1"/>
  <c r="M384" i="1"/>
  <c r="M383" i="1"/>
  <c r="T372" i="1"/>
  <c r="V372" i="1" s="1"/>
  <c r="M372" i="1"/>
  <c r="T371" i="1"/>
  <c r="M371" i="1"/>
  <c r="T370" i="1"/>
  <c r="M370" i="1"/>
  <c r="T369" i="1"/>
  <c r="M369" i="1"/>
  <c r="T368" i="1"/>
  <c r="V368" i="1" s="1"/>
  <c r="M368" i="1"/>
  <c r="T367" i="1"/>
  <c r="M367" i="1"/>
  <c r="T366" i="1"/>
  <c r="M366" i="1"/>
  <c r="T365" i="1"/>
  <c r="M365" i="1"/>
  <c r="T364" i="1"/>
  <c r="V364" i="1" s="1"/>
  <c r="M364" i="1"/>
  <c r="T363" i="1"/>
  <c r="M363" i="1"/>
  <c r="T362" i="1"/>
  <c r="M362" i="1"/>
  <c r="T361" i="1"/>
  <c r="M361" i="1"/>
  <c r="T360" i="1"/>
  <c r="V360" i="1" s="1"/>
  <c r="M360" i="1"/>
  <c r="T359" i="1"/>
  <c r="M359" i="1"/>
  <c r="T358" i="1"/>
  <c r="M358" i="1"/>
  <c r="T357" i="1"/>
  <c r="M357" i="1"/>
  <c r="T356" i="1"/>
  <c r="V356" i="1" s="1"/>
  <c r="M356" i="1"/>
  <c r="T355" i="1"/>
  <c r="M355" i="1"/>
  <c r="T354" i="1"/>
  <c r="M354" i="1"/>
  <c r="T353" i="1"/>
  <c r="V353" i="1" s="1"/>
  <c r="M353" i="1"/>
  <c r="T352" i="1"/>
  <c r="U352" i="1" s="1"/>
  <c r="M352" i="1"/>
  <c r="T351" i="1"/>
  <c r="M351" i="1"/>
  <c r="T350" i="1"/>
  <c r="M350" i="1"/>
  <c r="T349" i="1"/>
  <c r="V349" i="1" s="1"/>
  <c r="M349" i="1"/>
  <c r="T348" i="1"/>
  <c r="M348" i="1"/>
  <c r="T347" i="1"/>
  <c r="M347" i="1"/>
  <c r="T346" i="1"/>
  <c r="M346" i="1"/>
  <c r="T345" i="1"/>
  <c r="V345" i="1" s="1"/>
  <c r="M345" i="1"/>
  <c r="T344" i="1"/>
  <c r="M344" i="1"/>
  <c r="T343" i="1"/>
  <c r="V343" i="1" s="1"/>
  <c r="M343" i="1"/>
  <c r="T342" i="1"/>
  <c r="M342" i="1"/>
  <c r="T341" i="1"/>
  <c r="V341" i="1" s="1"/>
  <c r="M341" i="1"/>
  <c r="T340" i="1"/>
  <c r="V340" i="1" s="1"/>
  <c r="M340" i="1"/>
  <c r="T339" i="1"/>
  <c r="M339" i="1"/>
  <c r="T338" i="1"/>
  <c r="M338" i="1"/>
  <c r="T337" i="1"/>
  <c r="V337" i="1" s="1"/>
  <c r="M337" i="1"/>
  <c r="T336" i="1"/>
  <c r="M336" i="1"/>
  <c r="T335" i="1"/>
  <c r="M335" i="1"/>
  <c r="T334" i="1"/>
  <c r="M334" i="1"/>
  <c r="T333" i="1"/>
  <c r="V333" i="1" s="1"/>
  <c r="M333" i="1"/>
  <c r="T332" i="1"/>
  <c r="M332" i="1"/>
  <c r="T331" i="1"/>
  <c r="M331" i="1"/>
  <c r="T330" i="1"/>
  <c r="M330" i="1"/>
  <c r="T329" i="1"/>
  <c r="V329" i="1" s="1"/>
  <c r="M329" i="1"/>
  <c r="T328" i="1"/>
  <c r="M328" i="1"/>
  <c r="T327" i="1"/>
  <c r="V327" i="1" s="1"/>
  <c r="M327" i="1"/>
  <c r="T326" i="1"/>
  <c r="M326" i="1"/>
  <c r="T325" i="1"/>
  <c r="V325" i="1" s="1"/>
  <c r="M325" i="1"/>
  <c r="T324" i="1"/>
  <c r="V324" i="1" s="1"/>
  <c r="M324" i="1"/>
  <c r="T323" i="1"/>
  <c r="M323" i="1"/>
  <c r="T322" i="1"/>
  <c r="M322" i="1"/>
  <c r="T321" i="1"/>
  <c r="V321" i="1" s="1"/>
  <c r="M321" i="1"/>
  <c r="T320" i="1"/>
  <c r="M320" i="1"/>
  <c r="T319" i="1"/>
  <c r="M319" i="1"/>
  <c r="T318" i="1"/>
  <c r="M318" i="1"/>
  <c r="T317" i="1"/>
  <c r="V317" i="1" s="1"/>
  <c r="M317" i="1"/>
  <c r="T316" i="1"/>
  <c r="V316" i="1" s="1"/>
  <c r="M316" i="1"/>
  <c r="T315" i="1"/>
  <c r="M315" i="1"/>
  <c r="T314" i="1"/>
  <c r="M314" i="1"/>
  <c r="T313" i="1"/>
  <c r="V313" i="1" s="1"/>
  <c r="M313" i="1"/>
  <c r="T312" i="1"/>
  <c r="M312" i="1"/>
  <c r="V311" i="1"/>
  <c r="T311" i="1"/>
  <c r="M311" i="1"/>
  <c r="T310" i="1"/>
  <c r="M310" i="1"/>
  <c r="T309" i="1"/>
  <c r="V309" i="1" s="1"/>
  <c r="M309" i="1"/>
  <c r="T308" i="1"/>
  <c r="V308" i="1" s="1"/>
  <c r="M308" i="1"/>
  <c r="T307" i="1"/>
  <c r="M307" i="1"/>
  <c r="T306" i="1"/>
  <c r="M306" i="1"/>
  <c r="T305" i="1"/>
  <c r="V305" i="1" s="1"/>
  <c r="M305" i="1"/>
  <c r="T304" i="1"/>
  <c r="M304" i="1"/>
  <c r="T303" i="1"/>
  <c r="V303" i="1" s="1"/>
  <c r="M303" i="1"/>
  <c r="T302" i="1"/>
  <c r="M302" i="1"/>
  <c r="T301" i="1"/>
  <c r="V301" i="1" s="1"/>
  <c r="M301" i="1"/>
  <c r="T300" i="1"/>
  <c r="M300" i="1"/>
  <c r="T299" i="1"/>
  <c r="M299" i="1"/>
  <c r="T298" i="1"/>
  <c r="M298" i="1"/>
  <c r="T297" i="1"/>
  <c r="V297" i="1" s="1"/>
  <c r="M297" i="1"/>
  <c r="T296" i="1"/>
  <c r="M296" i="1"/>
  <c r="T295" i="1"/>
  <c r="V295" i="1" s="1"/>
  <c r="M295" i="1"/>
  <c r="T294" i="1"/>
  <c r="M294" i="1"/>
  <c r="T293" i="1"/>
  <c r="V293" i="1" s="1"/>
  <c r="M293" i="1"/>
  <c r="T292" i="1"/>
  <c r="V292" i="1" s="1"/>
  <c r="M292" i="1"/>
  <c r="T291" i="1"/>
  <c r="M291" i="1"/>
  <c r="T290" i="1"/>
  <c r="M290" i="1"/>
  <c r="T289" i="1"/>
  <c r="V289" i="1" s="1"/>
  <c r="M289" i="1"/>
  <c r="T288" i="1"/>
  <c r="U288" i="1" s="1"/>
  <c r="M288" i="1"/>
  <c r="T287" i="1"/>
  <c r="V287" i="1" s="1"/>
  <c r="M287" i="1"/>
  <c r="T286" i="1"/>
  <c r="V286" i="1" s="1"/>
  <c r="M286" i="1"/>
  <c r="T285" i="1"/>
  <c r="V285" i="1" s="1"/>
  <c r="M285" i="1"/>
  <c r="T284" i="1"/>
  <c r="V284" i="1" s="1"/>
  <c r="M284" i="1"/>
  <c r="T283" i="1"/>
  <c r="V283" i="1" s="1"/>
  <c r="M283" i="1"/>
  <c r="T282" i="1"/>
  <c r="V282" i="1" s="1"/>
  <c r="M282" i="1"/>
  <c r="T281" i="1"/>
  <c r="V281" i="1" s="1"/>
  <c r="M281" i="1"/>
  <c r="T280" i="1"/>
  <c r="V280" i="1" s="1"/>
  <c r="M280" i="1"/>
  <c r="T279" i="1"/>
  <c r="V279" i="1" s="1"/>
  <c r="M279" i="1"/>
  <c r="T278" i="1"/>
  <c r="V278" i="1" s="1"/>
  <c r="M278" i="1"/>
  <c r="T277" i="1"/>
  <c r="V277" i="1" s="1"/>
  <c r="M277" i="1"/>
  <c r="T276" i="1"/>
  <c r="V276" i="1" s="1"/>
  <c r="M276" i="1"/>
  <c r="T275" i="1"/>
  <c r="V275" i="1" s="1"/>
  <c r="M275" i="1"/>
  <c r="T274" i="1"/>
  <c r="V274" i="1" s="1"/>
  <c r="M274" i="1"/>
  <c r="T273" i="1"/>
  <c r="V273" i="1" s="1"/>
  <c r="M273" i="1"/>
  <c r="T272" i="1"/>
  <c r="V272" i="1" s="1"/>
  <c r="M272" i="1"/>
  <c r="T271" i="1"/>
  <c r="V271" i="1" s="1"/>
  <c r="M271" i="1"/>
  <c r="T270" i="1"/>
  <c r="V270" i="1" s="1"/>
  <c r="M270" i="1"/>
  <c r="T269" i="1"/>
  <c r="V269" i="1" s="1"/>
  <c r="M269" i="1"/>
  <c r="T268" i="1"/>
  <c r="V268" i="1" s="1"/>
  <c r="T267" i="1"/>
  <c r="U267" i="1" s="1"/>
  <c r="T266" i="1"/>
  <c r="T265" i="1"/>
  <c r="V265" i="1" s="1"/>
  <c r="T264" i="1"/>
  <c r="U264" i="1" s="1"/>
  <c r="T263" i="1"/>
  <c r="V263" i="1" s="1"/>
  <c r="M263" i="1"/>
  <c r="T262" i="1"/>
  <c r="V262" i="1" s="1"/>
  <c r="M262" i="1"/>
  <c r="T261" i="1"/>
  <c r="V261" i="1" s="1"/>
  <c r="M261" i="1"/>
  <c r="T260" i="1"/>
  <c r="V260" i="1" s="1"/>
  <c r="M260" i="1"/>
  <c r="T259" i="1"/>
  <c r="V259" i="1" s="1"/>
  <c r="M259" i="1"/>
  <c r="T258" i="1"/>
  <c r="V258" i="1" s="1"/>
  <c r="M258" i="1"/>
  <c r="T257" i="1"/>
  <c r="V257" i="1" s="1"/>
  <c r="M257" i="1"/>
  <c r="T256" i="1"/>
  <c r="V256" i="1" s="1"/>
  <c r="M256" i="1"/>
  <c r="T255" i="1"/>
  <c r="V255" i="1" s="1"/>
  <c r="M255" i="1"/>
  <c r="T254" i="1"/>
  <c r="V254" i="1" s="1"/>
  <c r="M254" i="1"/>
  <c r="T253" i="1"/>
  <c r="V253" i="1" s="1"/>
  <c r="M253" i="1"/>
  <c r="T252" i="1"/>
  <c r="V252" i="1" s="1"/>
  <c r="M252" i="1"/>
  <c r="T251" i="1"/>
  <c r="V251" i="1" s="1"/>
  <c r="M251" i="1"/>
  <c r="U251" i="1" s="1"/>
  <c r="T250" i="1"/>
  <c r="V250" i="1" s="1"/>
  <c r="M250" i="1"/>
  <c r="T249" i="1"/>
  <c r="M249" i="1"/>
  <c r="T248" i="1"/>
  <c r="M248" i="1"/>
  <c r="T247" i="1"/>
  <c r="M247" i="1"/>
  <c r="T246" i="1"/>
  <c r="V246" i="1" s="1"/>
  <c r="M246" i="1"/>
  <c r="T245" i="1"/>
  <c r="V245" i="1" s="1"/>
  <c r="M245" i="1"/>
  <c r="T244" i="1"/>
  <c r="M244" i="1"/>
  <c r="T243" i="1"/>
  <c r="M243" i="1"/>
  <c r="T242" i="1"/>
  <c r="V242" i="1" s="1"/>
  <c r="M242" i="1"/>
  <c r="T241" i="1"/>
  <c r="V241" i="1" s="1"/>
  <c r="M241" i="1"/>
  <c r="T240" i="1"/>
  <c r="M240" i="1"/>
  <c r="T239" i="1"/>
  <c r="M239" i="1"/>
  <c r="T238" i="1"/>
  <c r="V238" i="1" s="1"/>
  <c r="M238" i="1"/>
  <c r="T237" i="1"/>
  <c r="V237" i="1" s="1"/>
  <c r="M237" i="1"/>
  <c r="T236" i="1"/>
  <c r="M236" i="1"/>
  <c r="T235" i="1"/>
  <c r="M235" i="1"/>
  <c r="T234" i="1"/>
  <c r="V234" i="1" s="1"/>
  <c r="M234" i="1"/>
  <c r="T233" i="1"/>
  <c r="M233" i="1"/>
  <c r="T232" i="1"/>
  <c r="M232" i="1"/>
  <c r="T231" i="1"/>
  <c r="M231" i="1"/>
  <c r="T230" i="1"/>
  <c r="V230" i="1" s="1"/>
  <c r="M230" i="1"/>
  <c r="T229" i="1"/>
  <c r="M229" i="1"/>
  <c r="T228" i="1"/>
  <c r="M228" i="1"/>
  <c r="T227" i="1"/>
  <c r="M227" i="1"/>
  <c r="T226" i="1"/>
  <c r="V226" i="1" s="1"/>
  <c r="M226" i="1"/>
  <c r="T225" i="1"/>
  <c r="V225" i="1" s="1"/>
  <c r="M225" i="1"/>
  <c r="T224" i="1"/>
  <c r="M224" i="1"/>
  <c r="T223" i="1"/>
  <c r="M223" i="1"/>
  <c r="T222" i="1"/>
  <c r="V222" i="1" s="1"/>
  <c r="M222" i="1"/>
  <c r="T221" i="1"/>
  <c r="M221" i="1"/>
  <c r="T220" i="1"/>
  <c r="M220" i="1"/>
  <c r="T219" i="1"/>
  <c r="M219" i="1"/>
  <c r="T218" i="1"/>
  <c r="V218" i="1" s="1"/>
  <c r="M218" i="1"/>
  <c r="T217" i="1"/>
  <c r="M217" i="1"/>
  <c r="T216" i="1"/>
  <c r="M216" i="1"/>
  <c r="T215" i="1"/>
  <c r="M215" i="1"/>
  <c r="T214" i="1"/>
  <c r="V214" i="1" s="1"/>
  <c r="M214" i="1"/>
  <c r="T213" i="1"/>
  <c r="V213" i="1" s="1"/>
  <c r="M213" i="1"/>
  <c r="T212" i="1"/>
  <c r="M212" i="1"/>
  <c r="T211" i="1"/>
  <c r="M211" i="1"/>
  <c r="T210" i="1"/>
  <c r="V210" i="1" s="1"/>
  <c r="M210" i="1"/>
  <c r="V209" i="1"/>
  <c r="T209" i="1"/>
  <c r="M209" i="1"/>
  <c r="T208" i="1"/>
  <c r="M208" i="1"/>
  <c r="T207" i="1"/>
  <c r="M207" i="1"/>
  <c r="T206" i="1"/>
  <c r="V206" i="1" s="1"/>
  <c r="M206" i="1"/>
  <c r="T205" i="1"/>
  <c r="M205" i="1"/>
  <c r="T204" i="1"/>
  <c r="M204" i="1"/>
  <c r="T203" i="1"/>
  <c r="V203" i="1" s="1"/>
  <c r="M203" i="1"/>
  <c r="T202" i="1"/>
  <c r="M202" i="1"/>
  <c r="T201" i="1"/>
  <c r="M201" i="1"/>
  <c r="T200" i="1"/>
  <c r="M200" i="1"/>
  <c r="T199" i="1"/>
  <c r="M199" i="1"/>
  <c r="T198" i="1"/>
  <c r="M198" i="1"/>
  <c r="T197" i="1"/>
  <c r="V197" i="1" s="1"/>
  <c r="M197" i="1"/>
  <c r="T196" i="1"/>
  <c r="M196" i="1"/>
  <c r="T195" i="1"/>
  <c r="M195" i="1"/>
  <c r="T194" i="1"/>
  <c r="M194" i="1"/>
  <c r="T193" i="1"/>
  <c r="V193" i="1" s="1"/>
  <c r="M193" i="1"/>
  <c r="T192" i="1"/>
  <c r="M192" i="1"/>
  <c r="T191" i="1"/>
  <c r="M191" i="1"/>
  <c r="T190" i="1"/>
  <c r="M190" i="1"/>
  <c r="T189" i="1"/>
  <c r="V189" i="1" s="1"/>
  <c r="M189" i="1"/>
  <c r="T188" i="1"/>
  <c r="M188" i="1"/>
  <c r="T187" i="1"/>
  <c r="M187" i="1"/>
  <c r="T186" i="1"/>
  <c r="M186" i="1"/>
  <c r="T185" i="1"/>
  <c r="V185" i="1" s="1"/>
  <c r="M185" i="1"/>
  <c r="T184" i="1"/>
  <c r="M184" i="1"/>
  <c r="T183" i="1"/>
  <c r="M183" i="1"/>
  <c r="T182" i="1"/>
  <c r="M182" i="1"/>
  <c r="T181" i="1"/>
  <c r="V181" i="1" s="1"/>
  <c r="M181" i="1"/>
  <c r="T180" i="1"/>
  <c r="M180" i="1"/>
  <c r="T179" i="1"/>
  <c r="M179" i="1"/>
  <c r="T178" i="1"/>
  <c r="M178" i="1"/>
  <c r="T177" i="1"/>
  <c r="M177" i="1"/>
  <c r="T176" i="1"/>
  <c r="M176" i="1"/>
  <c r="T175" i="1"/>
  <c r="M175" i="1"/>
  <c r="T174" i="1"/>
  <c r="M174" i="1"/>
  <c r="T173" i="1"/>
  <c r="M173" i="1"/>
  <c r="T172" i="1"/>
  <c r="M172" i="1"/>
  <c r="T171" i="1"/>
  <c r="M171" i="1"/>
  <c r="T170" i="1"/>
  <c r="M170" i="1"/>
  <c r="T169" i="1"/>
  <c r="M169" i="1"/>
  <c r="T168" i="1"/>
  <c r="M168" i="1"/>
  <c r="T167" i="1"/>
  <c r="M167" i="1"/>
  <c r="T166" i="1"/>
  <c r="M166" i="1"/>
  <c r="T165" i="1"/>
  <c r="M165" i="1"/>
  <c r="T164" i="1"/>
  <c r="M164" i="1"/>
  <c r="T163" i="1"/>
  <c r="M163" i="1"/>
  <c r="T162" i="1"/>
  <c r="M162" i="1"/>
  <c r="T161" i="1"/>
  <c r="M161" i="1"/>
  <c r="T160" i="1"/>
  <c r="M160" i="1"/>
  <c r="T159" i="1"/>
  <c r="M159" i="1"/>
  <c r="T158" i="1"/>
  <c r="M158" i="1"/>
  <c r="T157" i="1"/>
  <c r="M157" i="1"/>
  <c r="T156" i="1"/>
  <c r="M156" i="1"/>
  <c r="T155" i="1"/>
  <c r="M155" i="1"/>
  <c r="T154" i="1"/>
  <c r="M154" i="1"/>
  <c r="T153" i="1"/>
  <c r="M153" i="1"/>
  <c r="T152" i="1"/>
  <c r="M152" i="1"/>
  <c r="T151" i="1"/>
  <c r="M151" i="1"/>
  <c r="T150" i="1"/>
  <c r="M150" i="1"/>
  <c r="T149" i="1"/>
  <c r="M149" i="1"/>
  <c r="T148" i="1"/>
  <c r="M148" i="1"/>
  <c r="T147" i="1"/>
  <c r="M147" i="1"/>
  <c r="T146" i="1"/>
  <c r="M146" i="1"/>
  <c r="T145" i="1"/>
  <c r="M145" i="1"/>
  <c r="T144" i="1"/>
  <c r="M144" i="1"/>
  <c r="T143" i="1"/>
  <c r="M143" i="1"/>
  <c r="T142" i="1"/>
  <c r="M142" i="1"/>
  <c r="T141" i="1"/>
  <c r="M141" i="1"/>
  <c r="T140" i="1"/>
  <c r="M140" i="1"/>
  <c r="T139" i="1"/>
  <c r="M139" i="1"/>
  <c r="T138" i="1"/>
  <c r="M138" i="1"/>
  <c r="T137" i="1"/>
  <c r="M137" i="1"/>
  <c r="T136" i="1"/>
  <c r="M136" i="1"/>
  <c r="T135" i="1"/>
  <c r="M135" i="1"/>
  <c r="T134" i="1"/>
  <c r="M134" i="1"/>
  <c r="T133" i="1"/>
  <c r="M133" i="1"/>
  <c r="T132" i="1"/>
  <c r="M132" i="1"/>
  <c r="T131" i="1"/>
  <c r="M131" i="1"/>
  <c r="T130" i="1"/>
  <c r="M130" i="1"/>
  <c r="T129" i="1"/>
  <c r="M129" i="1"/>
  <c r="T128" i="1"/>
  <c r="M128" i="1"/>
  <c r="T127" i="1"/>
  <c r="M127" i="1"/>
  <c r="T126" i="1"/>
  <c r="M126" i="1"/>
  <c r="T125" i="1"/>
  <c r="M125" i="1"/>
  <c r="T124" i="1"/>
  <c r="M124" i="1"/>
  <c r="T123" i="1"/>
  <c r="M123" i="1"/>
  <c r="T122" i="1"/>
  <c r="M122" i="1"/>
  <c r="T121" i="1"/>
  <c r="M121" i="1"/>
  <c r="T120" i="1"/>
  <c r="M120" i="1"/>
  <c r="T119" i="1"/>
  <c r="M119" i="1"/>
  <c r="T118" i="1"/>
  <c r="M118" i="1"/>
  <c r="T117" i="1"/>
  <c r="M117" i="1"/>
  <c r="T116" i="1"/>
  <c r="M116" i="1"/>
  <c r="T115" i="1"/>
  <c r="M115" i="1"/>
  <c r="T114" i="1"/>
  <c r="M114" i="1"/>
  <c r="T113" i="1"/>
  <c r="M113" i="1"/>
  <c r="T112" i="1"/>
  <c r="M112" i="1"/>
  <c r="T111" i="1"/>
  <c r="M111" i="1"/>
  <c r="T110" i="1"/>
  <c r="M110" i="1"/>
  <c r="T109" i="1"/>
  <c r="M109" i="1"/>
  <c r="T108" i="1"/>
  <c r="M108" i="1"/>
  <c r="T107" i="1"/>
  <c r="V107" i="1" s="1"/>
  <c r="M107" i="1"/>
  <c r="T106" i="1"/>
  <c r="V106" i="1" s="1"/>
  <c r="M106" i="1"/>
  <c r="T105" i="1"/>
  <c r="V105" i="1" s="1"/>
  <c r="M105" i="1"/>
  <c r="T104" i="1"/>
  <c r="V104" i="1" s="1"/>
  <c r="M104" i="1"/>
  <c r="T103" i="1"/>
  <c r="V103" i="1" s="1"/>
  <c r="M103" i="1"/>
  <c r="T102" i="1"/>
  <c r="V102" i="1" s="1"/>
  <c r="M102" i="1"/>
  <c r="T101" i="1"/>
  <c r="V101" i="1" s="1"/>
  <c r="M101" i="1"/>
  <c r="T100" i="1"/>
  <c r="V100" i="1" s="1"/>
  <c r="M100" i="1"/>
  <c r="T99" i="1"/>
  <c r="V99" i="1" s="1"/>
  <c r="M99" i="1"/>
  <c r="T98" i="1"/>
  <c r="V98" i="1" s="1"/>
  <c r="M98" i="1"/>
  <c r="T97" i="1"/>
  <c r="V97" i="1" s="1"/>
  <c r="M97" i="1"/>
  <c r="T96" i="1"/>
  <c r="V96" i="1" s="1"/>
  <c r="M96" i="1"/>
  <c r="T95" i="1"/>
  <c r="V95" i="1" s="1"/>
  <c r="M95" i="1"/>
  <c r="T94" i="1"/>
  <c r="V94" i="1" s="1"/>
  <c r="M94" i="1"/>
  <c r="T93" i="1"/>
  <c r="V93" i="1" s="1"/>
  <c r="M93" i="1"/>
  <c r="T92" i="1"/>
  <c r="V92" i="1" s="1"/>
  <c r="M92" i="1"/>
  <c r="T91" i="1"/>
  <c r="V91" i="1" s="1"/>
  <c r="M91" i="1"/>
  <c r="T90" i="1"/>
  <c r="V90" i="1" s="1"/>
  <c r="M90" i="1"/>
  <c r="T89" i="1"/>
  <c r="V89" i="1" s="1"/>
  <c r="M89" i="1"/>
  <c r="T88" i="1"/>
  <c r="V88" i="1" s="1"/>
  <c r="M88" i="1"/>
  <c r="T87" i="1"/>
  <c r="V87" i="1" s="1"/>
  <c r="M87" i="1"/>
  <c r="T86" i="1"/>
  <c r="V86" i="1" s="1"/>
  <c r="M86" i="1"/>
  <c r="T85" i="1"/>
  <c r="V85" i="1" s="1"/>
  <c r="M85" i="1"/>
  <c r="T84" i="1"/>
  <c r="V84" i="1" s="1"/>
  <c r="M84" i="1"/>
  <c r="T83" i="1"/>
  <c r="V83" i="1" s="1"/>
  <c r="M83" i="1"/>
  <c r="T82" i="1"/>
  <c r="V82" i="1" s="1"/>
  <c r="M82" i="1"/>
  <c r="T81" i="1"/>
  <c r="V81" i="1" s="1"/>
  <c r="M81" i="1"/>
  <c r="T80" i="1"/>
  <c r="V80" i="1" s="1"/>
  <c r="M80" i="1"/>
  <c r="T79" i="1"/>
  <c r="V79" i="1" s="1"/>
  <c r="M79" i="1"/>
  <c r="T78" i="1"/>
  <c r="V78" i="1" s="1"/>
  <c r="M78" i="1"/>
  <c r="T77" i="1"/>
  <c r="V77" i="1" s="1"/>
  <c r="M77" i="1"/>
  <c r="T76" i="1"/>
  <c r="V76" i="1" s="1"/>
  <c r="M76" i="1"/>
  <c r="T75" i="1"/>
  <c r="V75" i="1" s="1"/>
  <c r="M75" i="1"/>
  <c r="T74" i="1"/>
  <c r="V74" i="1" s="1"/>
  <c r="M74" i="1"/>
  <c r="T73" i="1"/>
  <c r="V73" i="1" s="1"/>
  <c r="M73" i="1"/>
  <c r="T72" i="1"/>
  <c r="V72" i="1" s="1"/>
  <c r="M72" i="1"/>
  <c r="T71" i="1"/>
  <c r="V71" i="1" s="1"/>
  <c r="M71" i="1"/>
  <c r="T70" i="1"/>
  <c r="V70" i="1" s="1"/>
  <c r="M70" i="1"/>
  <c r="T69" i="1"/>
  <c r="V69" i="1" s="1"/>
  <c r="M69" i="1"/>
  <c r="T68" i="1"/>
  <c r="V68" i="1" s="1"/>
  <c r="M68" i="1"/>
  <c r="T67" i="1"/>
  <c r="V67" i="1" s="1"/>
  <c r="M67" i="1"/>
  <c r="T66" i="1"/>
  <c r="V66" i="1" s="1"/>
  <c r="M66" i="1"/>
  <c r="T65" i="1"/>
  <c r="V65" i="1" s="1"/>
  <c r="M65" i="1"/>
  <c r="T64" i="1"/>
  <c r="V64" i="1" s="1"/>
  <c r="M64" i="1"/>
  <c r="T63" i="1"/>
  <c r="V63" i="1" s="1"/>
  <c r="M63" i="1"/>
  <c r="T62" i="1"/>
  <c r="V62" i="1" s="1"/>
  <c r="M62" i="1"/>
  <c r="T61" i="1"/>
  <c r="V61" i="1" s="1"/>
  <c r="M61" i="1"/>
  <c r="T60" i="1"/>
  <c r="V60" i="1" s="1"/>
  <c r="M60" i="1"/>
  <c r="T59" i="1"/>
  <c r="V59" i="1" s="1"/>
  <c r="M59" i="1"/>
  <c r="T58" i="1"/>
  <c r="V58" i="1" s="1"/>
  <c r="M58" i="1"/>
  <c r="T57" i="1"/>
  <c r="V57" i="1" s="1"/>
  <c r="M57" i="1"/>
  <c r="T56" i="1"/>
  <c r="V56" i="1" s="1"/>
  <c r="M56" i="1"/>
  <c r="T55" i="1"/>
  <c r="V55" i="1" s="1"/>
  <c r="M55" i="1"/>
  <c r="T54" i="1"/>
  <c r="V54" i="1" s="1"/>
  <c r="M54" i="1"/>
  <c r="T53" i="1"/>
  <c r="V53" i="1" s="1"/>
  <c r="M53" i="1"/>
  <c r="T52" i="1"/>
  <c r="V52" i="1" s="1"/>
  <c r="M52" i="1"/>
  <c r="T51" i="1"/>
  <c r="V51" i="1" s="1"/>
  <c r="M51" i="1"/>
  <c r="T50" i="1"/>
  <c r="V50" i="1" s="1"/>
  <c r="M50" i="1"/>
  <c r="T49" i="1"/>
  <c r="V49" i="1" s="1"/>
  <c r="M49" i="1"/>
  <c r="T48" i="1"/>
  <c r="V48" i="1" s="1"/>
  <c r="M48" i="1"/>
  <c r="T47" i="1"/>
  <c r="V47" i="1" s="1"/>
  <c r="M47" i="1"/>
  <c r="T46" i="1"/>
  <c r="V46" i="1" s="1"/>
  <c r="M46" i="1"/>
  <c r="T45" i="1"/>
  <c r="V45" i="1" s="1"/>
  <c r="M45" i="1"/>
  <c r="T44" i="1"/>
  <c r="V44" i="1" s="1"/>
  <c r="M44" i="1"/>
  <c r="T43" i="1"/>
  <c r="V43" i="1" s="1"/>
  <c r="M43" i="1"/>
  <c r="T42" i="1"/>
  <c r="V42" i="1" s="1"/>
  <c r="M42" i="1"/>
  <c r="T41" i="1"/>
  <c r="V41" i="1" s="1"/>
  <c r="M41" i="1"/>
  <c r="T40" i="1"/>
  <c r="V40" i="1" s="1"/>
  <c r="M40" i="1"/>
  <c r="T39" i="1"/>
  <c r="V39" i="1" s="1"/>
  <c r="M39" i="1"/>
  <c r="T38" i="1"/>
  <c r="V38" i="1" s="1"/>
  <c r="M38" i="1"/>
  <c r="T37" i="1"/>
  <c r="V37" i="1" s="1"/>
  <c r="M37" i="1"/>
  <c r="T36" i="1"/>
  <c r="V36" i="1" s="1"/>
  <c r="M36" i="1"/>
  <c r="T35" i="1"/>
  <c r="V35" i="1" s="1"/>
  <c r="M35" i="1"/>
  <c r="T34" i="1"/>
  <c r="V34" i="1" s="1"/>
  <c r="M34" i="1"/>
  <c r="T33" i="1"/>
  <c r="V33" i="1" s="1"/>
  <c r="M33" i="1"/>
  <c r="T32" i="1"/>
  <c r="V32" i="1" s="1"/>
  <c r="M32" i="1"/>
  <c r="T31" i="1"/>
  <c r="V31" i="1" s="1"/>
  <c r="M31" i="1"/>
  <c r="T30" i="1"/>
  <c r="V30" i="1" s="1"/>
  <c r="M30" i="1"/>
  <c r="T29" i="1"/>
  <c r="V29" i="1" s="1"/>
  <c r="M29" i="1"/>
  <c r="T28" i="1"/>
  <c r="V28" i="1" s="1"/>
  <c r="M28" i="1"/>
  <c r="T27" i="1"/>
  <c r="V27" i="1" s="1"/>
  <c r="M27" i="1"/>
  <c r="T26" i="1"/>
  <c r="V26" i="1" s="1"/>
  <c r="M26" i="1"/>
  <c r="T25" i="1"/>
  <c r="V25" i="1" s="1"/>
  <c r="M25" i="1"/>
  <c r="T24" i="1"/>
  <c r="V24" i="1" s="1"/>
  <c r="M24" i="1"/>
  <c r="T23" i="1"/>
  <c r="V23" i="1" s="1"/>
  <c r="M23" i="1"/>
  <c r="T22" i="1"/>
  <c r="V22" i="1" s="1"/>
  <c r="M22" i="1"/>
  <c r="T21" i="1"/>
  <c r="V21" i="1" s="1"/>
  <c r="M21" i="1"/>
  <c r="T20" i="1"/>
  <c r="V20" i="1" s="1"/>
  <c r="M20" i="1"/>
  <c r="T19" i="1"/>
  <c r="V19" i="1" s="1"/>
  <c r="M19" i="1"/>
  <c r="T18" i="1"/>
  <c r="V18" i="1" s="1"/>
  <c r="M18" i="1"/>
  <c r="T17" i="1"/>
  <c r="V17" i="1" s="1"/>
  <c r="M17" i="1"/>
  <c r="T16" i="1"/>
  <c r="V16" i="1" s="1"/>
  <c r="M16" i="1"/>
  <c r="T15" i="1"/>
  <c r="V15" i="1" s="1"/>
  <c r="M15" i="1"/>
  <c r="T14" i="1"/>
  <c r="V14" i="1" s="1"/>
  <c r="M14" i="1"/>
  <c r="T13" i="1"/>
  <c r="V13" i="1" s="1"/>
  <c r="M13" i="1"/>
  <c r="T12" i="1"/>
  <c r="V12" i="1" s="1"/>
  <c r="M12" i="1"/>
  <c r="T11" i="1"/>
  <c r="V11" i="1" s="1"/>
  <c r="M11" i="1"/>
  <c r="T10" i="1"/>
  <c r="V10" i="1" s="1"/>
  <c r="M10" i="1"/>
  <c r="T9" i="1"/>
  <c r="V9" i="1" s="1"/>
  <c r="M9" i="1"/>
  <c r="T8" i="1"/>
  <c r="V8" i="1" s="1"/>
  <c r="M8" i="1"/>
  <c r="T7" i="1"/>
  <c r="V7" i="1" s="1"/>
  <c r="M7" i="1"/>
  <c r="T6" i="1"/>
  <c r="V6" i="1" s="1"/>
  <c r="M6" i="1"/>
  <c r="T5" i="1"/>
  <c r="V5" i="1" s="1"/>
  <c r="M5" i="1"/>
  <c r="P4" i="1"/>
  <c r="T4" i="1" s="1"/>
  <c r="M4" i="1"/>
  <c r="T3" i="1"/>
  <c r="M3" i="1"/>
  <c r="T2" i="1"/>
  <c r="V2" i="1" s="1"/>
  <c r="M2" i="1"/>
  <c r="U363" i="1" l="1"/>
  <c r="U274" i="1"/>
  <c r="U277" i="1"/>
  <c r="U339" i="1"/>
  <c r="U278" i="1"/>
  <c r="U282" i="1"/>
  <c r="U281" i="1"/>
  <c r="U217" i="1"/>
  <c r="U233" i="1"/>
  <c r="U249" i="1"/>
  <c r="U323" i="1"/>
  <c r="U336" i="1"/>
  <c r="U371" i="1"/>
  <c r="V217" i="1"/>
  <c r="V233" i="1"/>
  <c r="V249" i="1"/>
  <c r="U285" i="1"/>
  <c r="U307" i="1"/>
  <c r="U320" i="1"/>
  <c r="U209" i="1"/>
  <c r="U225" i="1"/>
  <c r="U241" i="1"/>
  <c r="U270" i="1"/>
  <c r="U273" i="1"/>
  <c r="U286" i="1"/>
  <c r="U291" i="1"/>
  <c r="U304" i="1"/>
  <c r="U355" i="1"/>
  <c r="U205" i="1"/>
  <c r="U221" i="1"/>
  <c r="U229" i="1"/>
  <c r="U272" i="1"/>
  <c r="U280" i="1"/>
  <c r="U284" i="1"/>
  <c r="V288" i="1"/>
  <c r="V291" i="1"/>
  <c r="U300" i="1"/>
  <c r="V304" i="1"/>
  <c r="V307" i="1"/>
  <c r="U319" i="1"/>
  <c r="V320" i="1"/>
  <c r="V323" i="1"/>
  <c r="U332" i="1"/>
  <c r="U335" i="1"/>
  <c r="V336" i="1"/>
  <c r="V339" i="1"/>
  <c r="U348" i="1"/>
  <c r="U351" i="1"/>
  <c r="V352" i="1"/>
  <c r="V355" i="1"/>
  <c r="V363" i="1"/>
  <c r="V371" i="1"/>
  <c r="U202" i="1"/>
  <c r="V205" i="1"/>
  <c r="V221" i="1"/>
  <c r="V229" i="1"/>
  <c r="U271" i="1"/>
  <c r="U275" i="1"/>
  <c r="U279" i="1"/>
  <c r="U283" i="1"/>
  <c r="U296" i="1"/>
  <c r="U299" i="1"/>
  <c r="V300" i="1"/>
  <c r="U312" i="1"/>
  <c r="U315" i="1"/>
  <c r="V319" i="1"/>
  <c r="U328" i="1"/>
  <c r="U331" i="1"/>
  <c r="V332" i="1"/>
  <c r="V335" i="1"/>
  <c r="U344" i="1"/>
  <c r="U347" i="1"/>
  <c r="V348" i="1"/>
  <c r="V351" i="1"/>
  <c r="U359" i="1"/>
  <c r="U367" i="1"/>
  <c r="U108" i="1"/>
  <c r="U213" i="1"/>
  <c r="U237" i="1"/>
  <c r="U245" i="1"/>
  <c r="U276" i="1"/>
  <c r="U287" i="1"/>
  <c r="U303" i="1"/>
  <c r="U316" i="1"/>
  <c r="U292" i="1"/>
  <c r="U295" i="1"/>
  <c r="V296" i="1"/>
  <c r="V299" i="1"/>
  <c r="U308" i="1"/>
  <c r="U311" i="1"/>
  <c r="V312" i="1"/>
  <c r="V315" i="1"/>
  <c r="U324" i="1"/>
  <c r="U327" i="1"/>
  <c r="V328" i="1"/>
  <c r="V331" i="1"/>
  <c r="U340" i="1"/>
  <c r="U343" i="1"/>
  <c r="V344" i="1"/>
  <c r="V347" i="1"/>
  <c r="V359" i="1"/>
  <c r="V367" i="1"/>
  <c r="U192" i="1"/>
  <c r="V192" i="1"/>
  <c r="U330" i="1"/>
  <c r="V330" i="1"/>
  <c r="U358" i="1"/>
  <c r="V358" i="1"/>
  <c r="U5" i="1"/>
  <c r="U7" i="1"/>
  <c r="U9" i="1"/>
  <c r="U12" i="1"/>
  <c r="U14" i="1"/>
  <c r="U16" i="1"/>
  <c r="U18" i="1"/>
  <c r="U20" i="1"/>
  <c r="U22" i="1"/>
  <c r="U24" i="1"/>
  <c r="U27" i="1"/>
  <c r="U29" i="1"/>
  <c r="U30" i="1"/>
  <c r="U32" i="1"/>
  <c r="U34" i="1"/>
  <c r="U36" i="1"/>
  <c r="U37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V108" i="1"/>
  <c r="V110" i="1"/>
  <c r="U110" i="1"/>
  <c r="V112" i="1"/>
  <c r="U112" i="1"/>
  <c r="V114" i="1"/>
  <c r="U114" i="1"/>
  <c r="V116" i="1"/>
  <c r="U116" i="1"/>
  <c r="V118" i="1"/>
  <c r="U118" i="1"/>
  <c r="V120" i="1"/>
  <c r="U120" i="1"/>
  <c r="V122" i="1"/>
  <c r="U122" i="1"/>
  <c r="V124" i="1"/>
  <c r="U124" i="1"/>
  <c r="V126" i="1"/>
  <c r="U126" i="1"/>
  <c r="V128" i="1"/>
  <c r="U128" i="1"/>
  <c r="V130" i="1"/>
  <c r="U130" i="1"/>
  <c r="V132" i="1"/>
  <c r="U132" i="1"/>
  <c r="V134" i="1"/>
  <c r="U134" i="1"/>
  <c r="V136" i="1"/>
  <c r="U136" i="1"/>
  <c r="V138" i="1"/>
  <c r="U138" i="1"/>
  <c r="V140" i="1"/>
  <c r="U140" i="1"/>
  <c r="V142" i="1"/>
  <c r="U142" i="1"/>
  <c r="V144" i="1"/>
  <c r="U144" i="1"/>
  <c r="V146" i="1"/>
  <c r="U146" i="1"/>
  <c r="V148" i="1"/>
  <c r="U148" i="1"/>
  <c r="V150" i="1"/>
  <c r="U150" i="1"/>
  <c r="V152" i="1"/>
  <c r="U152" i="1"/>
  <c r="V154" i="1"/>
  <c r="U154" i="1"/>
  <c r="V156" i="1"/>
  <c r="U156" i="1"/>
  <c r="V158" i="1"/>
  <c r="U158" i="1"/>
  <c r="V160" i="1"/>
  <c r="U160" i="1"/>
  <c r="V162" i="1"/>
  <c r="U162" i="1"/>
  <c r="V164" i="1"/>
  <c r="U164" i="1"/>
  <c r="V166" i="1"/>
  <c r="U166" i="1"/>
  <c r="V168" i="1"/>
  <c r="U168" i="1"/>
  <c r="V170" i="1"/>
  <c r="U170" i="1"/>
  <c r="V172" i="1"/>
  <c r="U172" i="1"/>
  <c r="V174" i="1"/>
  <c r="U174" i="1"/>
  <c r="V176" i="1"/>
  <c r="U176" i="1"/>
  <c r="V178" i="1"/>
  <c r="U178" i="1"/>
  <c r="U180" i="1"/>
  <c r="V180" i="1"/>
  <c r="U196" i="1"/>
  <c r="V196" i="1"/>
  <c r="V266" i="1"/>
  <c r="U266" i="1"/>
  <c r="U298" i="1"/>
  <c r="V298" i="1"/>
  <c r="U346" i="1"/>
  <c r="V346" i="1"/>
  <c r="U6" i="1"/>
  <c r="U8" i="1"/>
  <c r="U10" i="1"/>
  <c r="U11" i="1"/>
  <c r="U13" i="1"/>
  <c r="U15" i="1"/>
  <c r="U17" i="1"/>
  <c r="U19" i="1"/>
  <c r="U21" i="1"/>
  <c r="U23" i="1"/>
  <c r="U25" i="1"/>
  <c r="U26" i="1"/>
  <c r="U28" i="1"/>
  <c r="U31" i="1"/>
  <c r="U33" i="1"/>
  <c r="U35" i="1"/>
  <c r="U38" i="1"/>
  <c r="U184" i="1"/>
  <c r="V184" i="1"/>
  <c r="U200" i="1"/>
  <c r="V200" i="1"/>
  <c r="U314" i="1"/>
  <c r="V314" i="1"/>
  <c r="U366" i="1"/>
  <c r="V366" i="1"/>
  <c r="V109" i="1"/>
  <c r="U109" i="1"/>
  <c r="V111" i="1"/>
  <c r="U111" i="1"/>
  <c r="V113" i="1"/>
  <c r="U113" i="1"/>
  <c r="V115" i="1"/>
  <c r="U115" i="1"/>
  <c r="V117" i="1"/>
  <c r="U117" i="1"/>
  <c r="V119" i="1"/>
  <c r="U119" i="1"/>
  <c r="V121" i="1"/>
  <c r="U121" i="1"/>
  <c r="V123" i="1"/>
  <c r="U123" i="1"/>
  <c r="V125" i="1"/>
  <c r="U125" i="1"/>
  <c r="V127" i="1"/>
  <c r="U127" i="1"/>
  <c r="V129" i="1"/>
  <c r="U129" i="1"/>
  <c r="V131" i="1"/>
  <c r="U131" i="1"/>
  <c r="V133" i="1"/>
  <c r="U133" i="1"/>
  <c r="V135" i="1"/>
  <c r="U135" i="1"/>
  <c r="V137" i="1"/>
  <c r="U137" i="1"/>
  <c r="V139" i="1"/>
  <c r="U139" i="1"/>
  <c r="V141" i="1"/>
  <c r="U141" i="1"/>
  <c r="V143" i="1"/>
  <c r="U143" i="1"/>
  <c r="V145" i="1"/>
  <c r="U145" i="1"/>
  <c r="V147" i="1"/>
  <c r="U147" i="1"/>
  <c r="V149" i="1"/>
  <c r="U149" i="1"/>
  <c r="V151" i="1"/>
  <c r="U151" i="1"/>
  <c r="V153" i="1"/>
  <c r="U153" i="1"/>
  <c r="V155" i="1"/>
  <c r="U155" i="1"/>
  <c r="V157" i="1"/>
  <c r="U157" i="1"/>
  <c r="V159" i="1"/>
  <c r="U159" i="1"/>
  <c r="V161" i="1"/>
  <c r="U161" i="1"/>
  <c r="V163" i="1"/>
  <c r="U163" i="1"/>
  <c r="V165" i="1"/>
  <c r="U165" i="1"/>
  <c r="V167" i="1"/>
  <c r="U167" i="1"/>
  <c r="V169" i="1"/>
  <c r="U169" i="1"/>
  <c r="V171" i="1"/>
  <c r="U171" i="1"/>
  <c r="V173" i="1"/>
  <c r="U173" i="1"/>
  <c r="V175" i="1"/>
  <c r="U175" i="1"/>
  <c r="V177" i="1"/>
  <c r="U177" i="1"/>
  <c r="V179" i="1"/>
  <c r="U179" i="1"/>
  <c r="U188" i="1"/>
  <c r="V188" i="1"/>
  <c r="U183" i="1"/>
  <c r="U187" i="1"/>
  <c r="U191" i="1"/>
  <c r="U195" i="1"/>
  <c r="U199" i="1"/>
  <c r="U208" i="1"/>
  <c r="V208" i="1"/>
  <c r="U216" i="1"/>
  <c r="V216" i="1"/>
  <c r="U224" i="1"/>
  <c r="V224" i="1"/>
  <c r="U232" i="1"/>
  <c r="V232" i="1"/>
  <c r="U240" i="1"/>
  <c r="V240" i="1"/>
  <c r="U248" i="1"/>
  <c r="V248" i="1"/>
  <c r="U294" i="1"/>
  <c r="V294" i="1"/>
  <c r="U310" i="1"/>
  <c r="V310" i="1"/>
  <c r="U326" i="1"/>
  <c r="V326" i="1"/>
  <c r="U342" i="1"/>
  <c r="V342" i="1"/>
  <c r="U182" i="1"/>
  <c r="V183" i="1"/>
  <c r="U186" i="1"/>
  <c r="V187" i="1"/>
  <c r="U190" i="1"/>
  <c r="V191" i="1"/>
  <c r="U194" i="1"/>
  <c r="V195" i="1"/>
  <c r="U198" i="1"/>
  <c r="V199" i="1"/>
  <c r="U201" i="1"/>
  <c r="V202" i="1"/>
  <c r="U290" i="1"/>
  <c r="V290" i="1"/>
  <c r="U306" i="1"/>
  <c r="V306" i="1"/>
  <c r="U322" i="1"/>
  <c r="V322" i="1"/>
  <c r="U338" i="1"/>
  <c r="V338" i="1"/>
  <c r="U354" i="1"/>
  <c r="V354" i="1"/>
  <c r="U362" i="1"/>
  <c r="V362" i="1"/>
  <c r="U370" i="1"/>
  <c r="V370" i="1"/>
  <c r="U181" i="1"/>
  <c r="V182" i="1"/>
  <c r="U185" i="1"/>
  <c r="V186" i="1"/>
  <c r="U189" i="1"/>
  <c r="V190" i="1"/>
  <c r="U193" i="1"/>
  <c r="V194" i="1"/>
  <c r="U197" i="1"/>
  <c r="V198" i="1"/>
  <c r="V201" i="1"/>
  <c r="U204" i="1"/>
  <c r="V204" i="1"/>
  <c r="U212" i="1"/>
  <c r="V212" i="1"/>
  <c r="U220" i="1"/>
  <c r="V220" i="1"/>
  <c r="U228" i="1"/>
  <c r="V228" i="1"/>
  <c r="U236" i="1"/>
  <c r="V236" i="1"/>
  <c r="U244" i="1"/>
  <c r="V244" i="1"/>
  <c r="U302" i="1"/>
  <c r="V302" i="1"/>
  <c r="U318" i="1"/>
  <c r="V318" i="1"/>
  <c r="U334" i="1"/>
  <c r="V334" i="1"/>
  <c r="U350" i="1"/>
  <c r="V350" i="1"/>
  <c r="U203" i="1"/>
  <c r="U207" i="1"/>
  <c r="U211" i="1"/>
  <c r="U215" i="1"/>
  <c r="U219" i="1"/>
  <c r="U223" i="1"/>
  <c r="U227" i="1"/>
  <c r="U231" i="1"/>
  <c r="U235" i="1"/>
  <c r="U239" i="1"/>
  <c r="U243" i="1"/>
  <c r="U247" i="1"/>
  <c r="U289" i="1"/>
  <c r="U293" i="1"/>
  <c r="U297" i="1"/>
  <c r="U301" i="1"/>
  <c r="U305" i="1"/>
  <c r="U309" i="1"/>
  <c r="U313" i="1"/>
  <c r="U317" i="1"/>
  <c r="U321" i="1"/>
  <c r="U325" i="1"/>
  <c r="U329" i="1"/>
  <c r="U333" i="1"/>
  <c r="U337" i="1"/>
  <c r="U341" i="1"/>
  <c r="U345" i="1"/>
  <c r="U349" i="1"/>
  <c r="U353" i="1"/>
  <c r="U357" i="1"/>
  <c r="U361" i="1"/>
  <c r="U365" i="1"/>
  <c r="U369" i="1"/>
  <c r="U206" i="1"/>
  <c r="V207" i="1"/>
  <c r="U210" i="1"/>
  <c r="V211" i="1"/>
  <c r="U214" i="1"/>
  <c r="V215" i="1"/>
  <c r="U218" i="1"/>
  <c r="V219" i="1"/>
  <c r="U222" i="1"/>
  <c r="V223" i="1"/>
  <c r="U226" i="1"/>
  <c r="V227" i="1"/>
  <c r="U230" i="1"/>
  <c r="V231" i="1"/>
  <c r="U234" i="1"/>
  <c r="V235" i="1"/>
  <c r="U238" i="1"/>
  <c r="V239" i="1"/>
  <c r="U242" i="1"/>
  <c r="V243" i="1"/>
  <c r="U246" i="1"/>
  <c r="V247" i="1"/>
  <c r="U250" i="1"/>
  <c r="U356" i="1"/>
  <c r="V357" i="1"/>
  <c r="U360" i="1"/>
  <c r="V361" i="1"/>
  <c r="U364" i="1"/>
  <c r="V365" i="1"/>
  <c r="U368" i="1"/>
  <c r="V369" i="1"/>
  <c r="V264" i="1"/>
  <c r="U3" i="1"/>
  <c r="U2" i="1"/>
  <c r="V3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V267" i="1"/>
  <c r="U372" i="1"/>
  <c r="U4" i="1"/>
  <c r="V4" i="1"/>
  <c r="U265" i="1"/>
  <c r="U268" i="1"/>
  <c r="U269" i="1"/>
</calcChain>
</file>

<file path=xl/sharedStrings.xml><?xml version="1.0" encoding="utf-8"?>
<sst xmlns="http://schemas.openxmlformats.org/spreadsheetml/2006/main" count="3869" uniqueCount="366">
  <si>
    <t>Date</t>
  </si>
  <si>
    <t>Shape</t>
  </si>
  <si>
    <t>Size (mm)</t>
  </si>
  <si>
    <t>Sieve</t>
  </si>
  <si>
    <t>Pointer</t>
  </si>
  <si>
    <t>Color</t>
  </si>
  <si>
    <t>Quality</t>
  </si>
  <si>
    <t>Seller</t>
  </si>
  <si>
    <t>Price</t>
  </si>
  <si>
    <t>Terms</t>
  </si>
  <si>
    <t>Days Seller</t>
  </si>
  <si>
    <t>Sel Wt</t>
  </si>
  <si>
    <t>Amt</t>
  </si>
  <si>
    <t>Broker</t>
  </si>
  <si>
    <t>Buyer</t>
  </si>
  <si>
    <t>price sold</t>
  </si>
  <si>
    <t>Misc Exp</t>
  </si>
  <si>
    <t>Terms Buyer</t>
  </si>
  <si>
    <t>Days Buyer</t>
  </si>
  <si>
    <t>Buyer Amt</t>
  </si>
  <si>
    <t>Profit</t>
  </si>
  <si>
    <t>Total Receivable</t>
  </si>
  <si>
    <t>Notes</t>
  </si>
  <si>
    <t>mq</t>
  </si>
  <si>
    <t>-7</t>
  </si>
  <si>
    <t>ttlb</t>
  </si>
  <si>
    <t>vvs vs</t>
  </si>
  <si>
    <t>hardik</t>
  </si>
  <si>
    <t>divyeshbhai</t>
  </si>
  <si>
    <t>jhalak</t>
  </si>
  <si>
    <t>trillions</t>
  </si>
  <si>
    <t>3.0 mm</t>
  </si>
  <si>
    <t>white</t>
  </si>
  <si>
    <t>vs</t>
  </si>
  <si>
    <t>asav</t>
  </si>
  <si>
    <t>sameer</t>
  </si>
  <si>
    <t>1/6</t>
  </si>
  <si>
    <t>princess</t>
  </si>
  <si>
    <t>2.50 mm</t>
  </si>
  <si>
    <t>shree nandan gems</t>
  </si>
  <si>
    <t>rose cut</t>
  </si>
  <si>
    <t>4.00 mm x 3.00 mm</t>
  </si>
  <si>
    <t>round</t>
  </si>
  <si>
    <t>+8 - 9</t>
  </si>
  <si>
    <t>vvs</t>
  </si>
  <si>
    <t>bhadresh gautam</t>
  </si>
  <si>
    <t>deepak malad</t>
  </si>
  <si>
    <t>hitesh</t>
  </si>
  <si>
    <t>-2</t>
  </si>
  <si>
    <t>tlb</t>
  </si>
  <si>
    <t>si</t>
  </si>
  <si>
    <t>urveshbhai</t>
  </si>
  <si>
    <t>direct</t>
  </si>
  <si>
    <t>rose</t>
  </si>
  <si>
    <t>pan</t>
  </si>
  <si>
    <t>3.50 mm x 2.30 mm</t>
  </si>
  <si>
    <t>gh</t>
  </si>
  <si>
    <t>rajubhai sitaram</t>
  </si>
  <si>
    <t>3.80 mm x 2.50 mm</t>
  </si>
  <si>
    <t>-6.5</t>
  </si>
  <si>
    <t>si 3</t>
  </si>
  <si>
    <t>alpeshbhai marwadi</t>
  </si>
  <si>
    <t>minesh</t>
  </si>
  <si>
    <t>3.00 mm</t>
  </si>
  <si>
    <t>pankaj pk</t>
  </si>
  <si>
    <t>pankajbhai</t>
  </si>
  <si>
    <t>1/10</t>
  </si>
  <si>
    <t>pie cut</t>
  </si>
  <si>
    <t>8.20 mm x 4.30 mm</t>
  </si>
  <si>
    <t>harshadbhai hanshine</t>
  </si>
  <si>
    <t>gopinath impex</t>
  </si>
  <si>
    <t>-8.5</t>
  </si>
  <si>
    <t>lb</t>
  </si>
  <si>
    <t>niravbhai kaivi</t>
  </si>
  <si>
    <t>kc</t>
  </si>
  <si>
    <t>maheshbhai jhanvi</t>
  </si>
  <si>
    <t>+00 - 1</t>
  </si>
  <si>
    <t>+7 - 9</t>
  </si>
  <si>
    <t>alpesh RG</t>
  </si>
  <si>
    <t>premal</t>
  </si>
  <si>
    <t>samay</t>
  </si>
  <si>
    <t>heart</t>
  </si>
  <si>
    <t>3.50 mm</t>
  </si>
  <si>
    <t>SPH</t>
  </si>
  <si>
    <t>"+0000-0</t>
  </si>
  <si>
    <t>kalpesh ddl</t>
  </si>
  <si>
    <t>oval</t>
  </si>
  <si>
    <t>4.00 mm x  2.80 mm</t>
  </si>
  <si>
    <t>hitesh darsh</t>
  </si>
  <si>
    <t>bhaveshbhai th pankajbhai pk</t>
  </si>
  <si>
    <t>+9.5 - 10</t>
  </si>
  <si>
    <t>fancy yellow</t>
  </si>
  <si>
    <t>manoj maruti nandan</t>
  </si>
  <si>
    <t>+14.5 - 15</t>
  </si>
  <si>
    <t>punyamesh divya</t>
  </si>
  <si>
    <t>pradeepbhai</t>
  </si>
  <si>
    <t>lalit mandhar</t>
  </si>
  <si>
    <t>hitesh patan</t>
  </si>
  <si>
    <t>+2 -  8</t>
  </si>
  <si>
    <t>hasmukhbhai subh</t>
  </si>
  <si>
    <t>16.00 mm</t>
  </si>
  <si>
    <t>+2 - 6.5</t>
  </si>
  <si>
    <t>+7 -9</t>
  </si>
  <si>
    <t>kirankaka</t>
  </si>
  <si>
    <t>+000 - 2</t>
  </si>
  <si>
    <t>3 mm</t>
  </si>
  <si>
    <t>pankajbhai pk</t>
  </si>
  <si>
    <t>nirav kaivi</t>
  </si>
  <si>
    <t>keral</t>
  </si>
  <si>
    <t>+000 -  2</t>
  </si>
  <si>
    <t>mihir mehpani</t>
  </si>
  <si>
    <t>+16 - 17</t>
  </si>
  <si>
    <t>kishorebhai viral</t>
  </si>
  <si>
    <t>+11 - 14</t>
  </si>
  <si>
    <t>+9 - 11</t>
  </si>
  <si>
    <t>palak palash</t>
  </si>
  <si>
    <t>nitinbhai visnagar</t>
  </si>
  <si>
    <t>8 mm</t>
  </si>
  <si>
    <t>dilipbhai krishna</t>
  </si>
  <si>
    <t>8mm</t>
  </si>
  <si>
    <t>2 mm</t>
  </si>
  <si>
    <t>priyam rahil</t>
  </si>
  <si>
    <t>"+16-17</t>
  </si>
  <si>
    <t>+14.24 - 14.50</t>
  </si>
  <si>
    <t>krinal</t>
  </si>
  <si>
    <t>jayesh tejnani</t>
  </si>
  <si>
    <t>manish vora</t>
  </si>
  <si>
    <t>+2 - 6.6</t>
  </si>
  <si>
    <t>samvyak hardik</t>
  </si>
  <si>
    <t>+000 - J</t>
  </si>
  <si>
    <t>+000 - 0000</t>
  </si>
  <si>
    <t>jigneshbhai viral</t>
  </si>
  <si>
    <t>+2 - 5.5</t>
  </si>
  <si>
    <t>+11 - 13</t>
  </si>
  <si>
    <t>4 mm</t>
  </si>
  <si>
    <t>vinaybhai dr diam</t>
  </si>
  <si>
    <t>subh</t>
  </si>
  <si>
    <t>raimant</t>
  </si>
  <si>
    <t>jitubhai dhami</t>
  </si>
  <si>
    <t>s v exports</t>
  </si>
  <si>
    <t>hardik hall hardik</t>
  </si>
  <si>
    <t>+4 - 5.5</t>
  </si>
  <si>
    <t>tlc</t>
  </si>
  <si>
    <t>ali ashar</t>
  </si>
  <si>
    <t>+6.5 - 7</t>
  </si>
  <si>
    <t>bag</t>
  </si>
  <si>
    <t>4 mm x 2 mm</t>
  </si>
  <si>
    <t>hardik divyeshbhai</t>
  </si>
  <si>
    <t>4 mm  x 2 mm</t>
  </si>
  <si>
    <t>1/4</t>
  </si>
  <si>
    <t>hitesh kaivi</t>
  </si>
  <si>
    <t>+2 -.6.5</t>
  </si>
  <si>
    <t xml:space="preserve">gh </t>
  </si>
  <si>
    <t>rahulbhai divyeshbhai</t>
  </si>
  <si>
    <t>c j exports</t>
  </si>
  <si>
    <t>dharmesh</t>
  </si>
  <si>
    <t>momai exports</t>
  </si>
  <si>
    <t>+12 - 13</t>
  </si>
  <si>
    <t>priyanshu pyramid</t>
  </si>
  <si>
    <t>+11.5 - 13</t>
  </si>
  <si>
    <t>sachin minesh</t>
  </si>
  <si>
    <t>ashish jmb</t>
  </si>
  <si>
    <t>3 mm x  1.5 mm</t>
  </si>
  <si>
    <t>3.8 mm x 1.8 mm</t>
  </si>
  <si>
    <t>5 mm x 2 mm</t>
  </si>
  <si>
    <t>yamuna</t>
  </si>
  <si>
    <t>6 mm x 2 mm</t>
  </si>
  <si>
    <t>7 mm x 2 mm</t>
  </si>
  <si>
    <t>prayasha</t>
  </si>
  <si>
    <t>8 mm x 2 mm</t>
  </si>
  <si>
    <t>lc</t>
  </si>
  <si>
    <t>mix</t>
  </si>
  <si>
    <t>sumit bagaria</t>
  </si>
  <si>
    <t>mukeshbhai viradiya</t>
  </si>
  <si>
    <t>1/5</t>
  </si>
  <si>
    <t>rose cut pan</t>
  </si>
  <si>
    <t>"3/2</t>
  </si>
  <si>
    <t>3/2</t>
  </si>
  <si>
    <t>ghi</t>
  </si>
  <si>
    <t>vs si</t>
  </si>
  <si>
    <t>deepakbhai vikas</t>
  </si>
  <si>
    <t>"3/4</t>
  </si>
  <si>
    <t>3/4</t>
  </si>
  <si>
    <t>"3 mm x  2mm</t>
  </si>
  <si>
    <t>1/3</t>
  </si>
  <si>
    <t>rose cut chakri</t>
  </si>
  <si>
    <t>+12 - 14</t>
  </si>
  <si>
    <t>fgh</t>
  </si>
  <si>
    <t>4 mm x  2 mm</t>
  </si>
  <si>
    <t>ellis</t>
  </si>
  <si>
    <t>"1/3</t>
  </si>
  <si>
    <t>"1/2</t>
  </si>
  <si>
    <t>1/2</t>
  </si>
  <si>
    <t>"1/5</t>
  </si>
  <si>
    <t>kiranbhai singar impex</t>
  </si>
  <si>
    <t>manishbhai viradiya</t>
  </si>
  <si>
    <t>"1/6</t>
  </si>
  <si>
    <t>6 mm</t>
  </si>
  <si>
    <t>f</t>
  </si>
  <si>
    <t>vs1 si1</t>
  </si>
  <si>
    <t>rohitbhai jadia</t>
  </si>
  <si>
    <t>net</t>
  </si>
  <si>
    <t>tappers</t>
  </si>
  <si>
    <t>4.5 mm</t>
  </si>
  <si>
    <t>himanshubhai</t>
  </si>
  <si>
    <t>3mm  x  2mm</t>
  </si>
  <si>
    <t>fg</t>
  </si>
  <si>
    <t>hiteshbhai mira</t>
  </si>
  <si>
    <t>"+12-13</t>
  </si>
  <si>
    <t>g</t>
  </si>
  <si>
    <t>divya gems</t>
  </si>
  <si>
    <t>"+2-5.5</t>
  </si>
  <si>
    <t>girdharji</t>
  </si>
  <si>
    <t>5.5 mm x  3.3mm</t>
  </si>
  <si>
    <t>manish viradiya</t>
  </si>
  <si>
    <t>lh diamonds</t>
  </si>
  <si>
    <t>03-03--2025</t>
  </si>
  <si>
    <t>druvisha gems</t>
  </si>
  <si>
    <t>+6.5 - 9</t>
  </si>
  <si>
    <t>maruti diam</t>
  </si>
  <si>
    <t>4mm  x  2mm</t>
  </si>
  <si>
    <t>bandhan rameshbhai</t>
  </si>
  <si>
    <t>komal hiteshbhai</t>
  </si>
  <si>
    <t>5/8</t>
  </si>
  <si>
    <t>d sitaram chiragbhai</t>
  </si>
  <si>
    <t>h</t>
  </si>
  <si>
    <t>sheetal exports</t>
  </si>
  <si>
    <t>5 .0 mm x  2.5 mm</t>
  </si>
  <si>
    <t>d gopi chirag</t>
  </si>
  <si>
    <t>+3 - 4</t>
  </si>
  <si>
    <t>db</t>
  </si>
  <si>
    <t>+14 - 15</t>
  </si>
  <si>
    <t>4.mm x 2.80 mm</t>
  </si>
  <si>
    <t>+10 - 11</t>
  </si>
  <si>
    <t>def</t>
  </si>
  <si>
    <t>pradeepbhai pk</t>
  </si>
  <si>
    <t>kaushikbhai manya</t>
  </si>
  <si>
    <t>3/8</t>
  </si>
  <si>
    <t>"+12-14</t>
  </si>
  <si>
    <t>1.5 mm</t>
  </si>
  <si>
    <t>ef</t>
  </si>
  <si>
    <t>rameshbhai prince</t>
  </si>
  <si>
    <t>emrald</t>
  </si>
  <si>
    <t>5mm  x  3mm</t>
  </si>
  <si>
    <t>ankur s gandhi</t>
  </si>
  <si>
    <t>5mm  x  2.5 mm</t>
  </si>
  <si>
    <t>ravibhai</t>
  </si>
  <si>
    <t>5.5mm  x  3.5 mm</t>
  </si>
  <si>
    <t>4mm  x  3mm</t>
  </si>
  <si>
    <t>4mm x 2 mm</t>
  </si>
  <si>
    <t>4mm  x  5mm</t>
  </si>
  <si>
    <t>ashwinbhai chandaramani</t>
  </si>
  <si>
    <t>himanshubhai subh</t>
  </si>
  <si>
    <t>+2 - 4</t>
  </si>
  <si>
    <t>1.2 mm</t>
  </si>
  <si>
    <t>bhaveshbhai lb diamond</t>
  </si>
  <si>
    <t>ratnesh deesa</t>
  </si>
  <si>
    <t>si3</t>
  </si>
  <si>
    <t>3mm x  1.5 mm</t>
  </si>
  <si>
    <t>3mm  x  2 mm</t>
  </si>
  <si>
    <t>moksh</t>
  </si>
  <si>
    <t>miyani</t>
  </si>
  <si>
    <t>darsh</t>
  </si>
  <si>
    <t>4mm  x 2mm</t>
  </si>
  <si>
    <t>5mm x  2mm</t>
  </si>
  <si>
    <t>6mm  x  2 mm</t>
  </si>
  <si>
    <t>7mm  x 2 mm</t>
  </si>
  <si>
    <t>8mm  x 2 mm</t>
  </si>
  <si>
    <t>manosh</t>
  </si>
  <si>
    <t>dineshbhai max</t>
  </si>
  <si>
    <t>ketanbhai malad</t>
  </si>
  <si>
    <t>+2 - 7</t>
  </si>
  <si>
    <t>sameer bagaria</t>
  </si>
  <si>
    <t>3mm x 1.5mm</t>
  </si>
  <si>
    <t>4mm x 1.5mm</t>
  </si>
  <si>
    <t>2025-07-22 00:00:00</t>
  </si>
  <si>
    <t>5mm x 1.5mm</t>
  </si>
  <si>
    <t>timir</t>
  </si>
  <si>
    <t>38250</t>
  </si>
  <si>
    <t>-0.06</t>
  </si>
  <si>
    <t>30</t>
  </si>
  <si>
    <t>1.30</t>
  </si>
  <si>
    <t>vvs2</t>
  </si>
  <si>
    <t>agarwal</t>
  </si>
  <si>
    <t>rishit</t>
  </si>
  <si>
    <t>harsh malay</t>
  </si>
  <si>
    <t>sheild</t>
  </si>
  <si>
    <t>5.12mm x 4.43mm x 2.00mm</t>
  </si>
  <si>
    <t>"+0-1</t>
  </si>
  <si>
    <t>3.8mm</t>
  </si>
  <si>
    <t>hiteshbhai kaivi</t>
  </si>
  <si>
    <t>4 mm x 2.8mm</t>
  </si>
  <si>
    <t>4 mm x 2.50 mm</t>
  </si>
  <si>
    <t>haribhai om gopal</t>
  </si>
  <si>
    <t>himanshu subh</t>
  </si>
  <si>
    <t>4.20 mm x  2.00 mm</t>
  </si>
  <si>
    <t>hi</t>
  </si>
  <si>
    <t>+14 - 16</t>
  </si>
  <si>
    <t>+17 - 18</t>
  </si>
  <si>
    <t>+18-19</t>
  </si>
  <si>
    <t>savani diamonds</t>
  </si>
  <si>
    <t>kishore savani</t>
  </si>
  <si>
    <t>3.5 mm</t>
  </si>
  <si>
    <t>4.00 mm x 2.6 mm</t>
  </si>
  <si>
    <t>+11.5 - 12</t>
  </si>
  <si>
    <t>harsh patan</t>
  </si>
  <si>
    <t>4.00 mmx 2.00 mm</t>
  </si>
  <si>
    <t>master diam</t>
  </si>
  <si>
    <t>5.00 mm</t>
  </si>
  <si>
    <t>amit suken</t>
  </si>
  <si>
    <t>4.00 mm x 2.00 mm</t>
  </si>
  <si>
    <t>+00-0 +1-2</t>
  </si>
  <si>
    <t>ameesh rajkot</t>
  </si>
  <si>
    <t>6.8 mm x 3.4 mm</t>
  </si>
  <si>
    <t>6.4 mm x 3.1mm</t>
  </si>
  <si>
    <t>7.20 mm x 4.00 mm</t>
  </si>
  <si>
    <t>+12.5 -13</t>
  </si>
  <si>
    <t>+13.5 - 14</t>
  </si>
  <si>
    <t>+14.5 - 16</t>
  </si>
  <si>
    <t>nd</t>
  </si>
  <si>
    <t>3.00 mm x 2.00</t>
  </si>
  <si>
    <t>2.5 mm x 1.50 mm</t>
  </si>
  <si>
    <t>2025-10-09 00:00:00</t>
  </si>
  <si>
    <t>2.00 mm x 1.00 mm</t>
  </si>
  <si>
    <t>piyush</t>
  </si>
  <si>
    <t>28250</t>
  </si>
  <si>
    <t>2.00</t>
  </si>
  <si>
    <t>6.00 mm x 4.00 mm</t>
  </si>
  <si>
    <t>6.80 mm x 4.40 mm</t>
  </si>
  <si>
    <t>+15.5 - 16</t>
  </si>
  <si>
    <t>+16.5 - 17.5</t>
  </si>
  <si>
    <t>3.50 mm x 2.70 mm</t>
  </si>
  <si>
    <t>+000 - 6.5</t>
  </si>
  <si>
    <t>sumit</t>
  </si>
  <si>
    <t>31-10-2025</t>
  </si>
  <si>
    <t>+2 - 6</t>
  </si>
  <si>
    <t>14250.0</t>
  </si>
  <si>
    <t>-0.02</t>
  </si>
  <si>
    <t>180.0</t>
  </si>
  <si>
    <t>0</t>
  </si>
  <si>
    <t>150.0</t>
  </si>
  <si>
    <t>04-11-2025</t>
  </si>
  <si>
    <t>5.7mm x 2.85mm</t>
  </si>
  <si>
    <t>72500</t>
  </si>
  <si>
    <t>-6%</t>
  </si>
  <si>
    <t>0.52</t>
  </si>
  <si>
    <t>75000</t>
  </si>
  <si>
    <t>0%</t>
  </si>
  <si>
    <t>120</t>
  </si>
  <si>
    <t>4.70mm x 2.35mm</t>
  </si>
  <si>
    <t>50000</t>
  </si>
  <si>
    <t>0.38</t>
  </si>
  <si>
    <t>52000</t>
  </si>
  <si>
    <t>06-11-2025</t>
  </si>
  <si>
    <t>3mm</t>
  </si>
  <si>
    <t>5.70mm x 2.85 mm</t>
  </si>
  <si>
    <t>Size</t>
  </si>
  <si>
    <t>Party</t>
  </si>
  <si>
    <t>For</t>
  </si>
  <si>
    <t>terms</t>
  </si>
  <si>
    <t>120 days</t>
  </si>
  <si>
    <t>"-2 180 days</t>
  </si>
  <si>
    <t>150 dyas</t>
  </si>
  <si>
    <t>150 days</t>
  </si>
  <si>
    <t>nett</t>
  </si>
  <si>
    <t>120 dyas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</si>
</sst>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Alignment="1">
      <alignment horizontal="center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center"/>
    </xf>
    <xf numFmtId="49" fontId="0" fillId="0" borderId="0" xfId="0" applyNumberFormat="1"/>
    <xf numFmtId="164" fontId="0" fillId="0" borderId="0" xfId="0" applyNumberFormat="1"/>
    <xf numFmtId="10" fontId="1" fillId="0" borderId="0" xfId="0" applyNumberFormat="1" applyFont="1" applyAlignment="1">
      <alignment horizontal="center"/>
    </xf>
    <xf numFmtId="10" fontId="0" fillId="0" borderId="0" xfId="0" applyNumberFormat="1"/>
    <xf numFmtId="9" fontId="0" fillId="0" borderId="0" xfId="0" applyNumberFormat="1"/>
    <xf numFmtId="1" fontId="1" fillId="0" borderId="0" xfId="0" applyNumberFormat="1" applyFont="1" applyAlignment="1">
      <alignment horizontal="center"/>
    </xf>
    <xf numFmtId="1" fontId="0" fillId="0" borderId="0" xfId="0" applyNumberFormat="1"/>
    <xf numFmtId="2" fontId="1" fillId="0" borderId="0" xfId="0" applyNumberFormat="1" applyFont="1" applyAlignment="1">
      <alignment horizontal="center"/>
    </xf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390"/>
  <sheetViews>
    <sheetView tabSelected="1" workbookViewId="0">
      <pane ySplit="1" topLeftCell="A2" activePane="bottomLeft" state="frozen"/>
      <selection pane="bottomLeft" activeCell="E30" sqref="E30"/>
    </sheetView>
  </sheetViews>
  <sheetFormatPr defaultColWidth="8.6328125" defaultRowHeight="14.5" x14ac:dyDescent="0.35"/>
  <cols>
    <col min="1" max="1" width="10.7265625" bestFit="1" customWidth="1"/>
    <col min="2" max="2" width="7.6328125" bestFit="1" customWidth="1"/>
    <col min="3" max="3" width="17.453125" style="5" bestFit="1" customWidth="1"/>
    <col min="4" max="5" width="17.453125" style="5" customWidth="1"/>
    <col min="6" max="6" width="11" bestFit="1" customWidth="1"/>
    <col min="8" max="8" width="26.08984375" bestFit="1" customWidth="1"/>
    <col min="10" max="10" width="8.6328125" style="8" customWidth="1"/>
    <col min="12" max="12" width="8.6328125" style="13" customWidth="1"/>
    <col min="14" max="14" width="12.54296875" bestFit="1" customWidth="1"/>
    <col min="16" max="16" width="12.26953125" bestFit="1" customWidth="1"/>
    <col min="17" max="17" width="12.26953125" customWidth="1"/>
    <col min="20" max="20" width="14.6328125" style="11" bestFit="1" customWidth="1"/>
    <col min="22" max="22" width="10.08984375" style="11" bestFit="1" customWidth="1"/>
  </cols>
  <sheetData>
    <row r="1" spans="1:23" ht="18.5" customHeight="1" x14ac:dyDescent="0.45">
      <c r="A1" s="1" t="s">
        <v>0</v>
      </c>
      <c r="B1" s="1" t="s">
        <v>1</v>
      </c>
      <c r="C1" s="4" t="s">
        <v>2</v>
      </c>
      <c r="D1" s="4" t="s">
        <v>3</v>
      </c>
      <c r="E1" s="4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7" t="s">
        <v>9</v>
      </c>
      <c r="K1" s="1" t="s">
        <v>10</v>
      </c>
      <c r="L1" s="12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0" t="s">
        <v>19</v>
      </c>
      <c r="U1" s="1" t="s">
        <v>20</v>
      </c>
      <c r="V1" s="10" t="s">
        <v>21</v>
      </c>
      <c r="W1" s="1" t="s">
        <v>22</v>
      </c>
    </row>
    <row r="2" spans="1:23" x14ac:dyDescent="0.35">
      <c r="A2" s="2">
        <v>45119</v>
      </c>
      <c r="B2" t="s">
        <v>23</v>
      </c>
      <c r="D2" s="5" t="s">
        <v>24</v>
      </c>
      <c r="F2" t="s">
        <v>25</v>
      </c>
      <c r="G2" t="s">
        <v>26</v>
      </c>
      <c r="H2" t="s">
        <v>27</v>
      </c>
      <c r="I2">
        <v>35250</v>
      </c>
      <c r="J2" s="8">
        <v>-0.06</v>
      </c>
      <c r="K2">
        <v>30</v>
      </c>
      <c r="L2" s="13">
        <v>2</v>
      </c>
      <c r="M2">
        <f t="shared" ref="M2:M65" si="0">((I2*J2)+I2)*L2</f>
        <v>66270</v>
      </c>
      <c r="N2" t="s">
        <v>28</v>
      </c>
      <c r="O2" t="s">
        <v>29</v>
      </c>
      <c r="P2">
        <v>35250</v>
      </c>
      <c r="R2" s="9">
        <v>0</v>
      </c>
      <c r="S2">
        <v>150</v>
      </c>
      <c r="T2" s="11">
        <f t="shared" ref="T2:T65" si="1">((P2*R2)+P2)*L2</f>
        <v>70500</v>
      </c>
      <c r="U2" s="11">
        <f t="shared" ref="U2:U65" si="2">T2-M2</f>
        <v>4230</v>
      </c>
      <c r="V2" s="11">
        <f t="shared" ref="V2:V65" si="3">T2+Q2</f>
        <v>70500</v>
      </c>
    </row>
    <row r="3" spans="1:23" x14ac:dyDescent="0.35">
      <c r="A3" s="2">
        <v>45148</v>
      </c>
      <c r="B3" t="s">
        <v>23</v>
      </c>
      <c r="D3" s="5" t="s">
        <v>24</v>
      </c>
      <c r="F3" t="s">
        <v>25</v>
      </c>
      <c r="G3" t="s">
        <v>26</v>
      </c>
      <c r="H3" t="s">
        <v>27</v>
      </c>
      <c r="I3">
        <v>36500</v>
      </c>
      <c r="J3" s="8">
        <v>-0.06</v>
      </c>
      <c r="K3">
        <v>30</v>
      </c>
      <c r="M3">
        <f t="shared" si="0"/>
        <v>0</v>
      </c>
      <c r="N3" t="s">
        <v>28</v>
      </c>
      <c r="O3" t="s">
        <v>29</v>
      </c>
      <c r="P3">
        <v>36500</v>
      </c>
      <c r="R3" s="9">
        <v>0</v>
      </c>
      <c r="S3">
        <v>150</v>
      </c>
      <c r="T3" s="11">
        <f t="shared" si="1"/>
        <v>0</v>
      </c>
      <c r="U3" s="11">
        <f t="shared" si="2"/>
        <v>0</v>
      </c>
      <c r="V3" s="11">
        <f t="shared" si="3"/>
        <v>0</v>
      </c>
    </row>
    <row r="4" spans="1:23" x14ac:dyDescent="0.35">
      <c r="A4" s="2">
        <v>45258</v>
      </c>
      <c r="B4" t="s">
        <v>30</v>
      </c>
      <c r="C4" s="5" t="s">
        <v>31</v>
      </c>
      <c r="F4" t="s">
        <v>32</v>
      </c>
      <c r="G4" t="s">
        <v>33</v>
      </c>
      <c r="H4" t="s">
        <v>34</v>
      </c>
      <c r="I4">
        <v>52000</v>
      </c>
      <c r="J4" s="8">
        <v>-0.06</v>
      </c>
      <c r="K4">
        <v>30</v>
      </c>
      <c r="L4" s="13">
        <v>2</v>
      </c>
      <c r="M4">
        <f t="shared" si="0"/>
        <v>97760</v>
      </c>
      <c r="N4" t="s">
        <v>28</v>
      </c>
      <c r="O4" t="s">
        <v>35</v>
      </c>
      <c r="P4">
        <f>(I4*2%)+I4</f>
        <v>53040</v>
      </c>
      <c r="R4" s="9">
        <v>-0.06</v>
      </c>
      <c r="S4">
        <v>30</v>
      </c>
      <c r="T4" s="11">
        <f t="shared" si="1"/>
        <v>99715.199999999997</v>
      </c>
      <c r="U4" s="11">
        <f t="shared" si="2"/>
        <v>1955.1999999999971</v>
      </c>
      <c r="V4" s="11">
        <f t="shared" si="3"/>
        <v>99715.199999999997</v>
      </c>
    </row>
    <row r="5" spans="1:23" x14ac:dyDescent="0.35">
      <c r="A5" s="2">
        <v>45258</v>
      </c>
      <c r="B5" t="s">
        <v>30</v>
      </c>
      <c r="E5" s="5" t="s">
        <v>36</v>
      </c>
      <c r="F5" t="s">
        <v>32</v>
      </c>
      <c r="G5" t="s">
        <v>33</v>
      </c>
      <c r="H5" t="s">
        <v>34</v>
      </c>
      <c r="I5">
        <v>59000</v>
      </c>
      <c r="J5" s="8">
        <v>-0.06</v>
      </c>
      <c r="K5">
        <v>30</v>
      </c>
      <c r="M5">
        <f t="shared" si="0"/>
        <v>0</v>
      </c>
      <c r="N5" t="s">
        <v>28</v>
      </c>
      <c r="O5" t="s">
        <v>35</v>
      </c>
      <c r="P5">
        <v>59000</v>
      </c>
      <c r="R5" s="9">
        <v>-0.06</v>
      </c>
      <c r="S5">
        <v>30</v>
      </c>
      <c r="T5" s="11">
        <f t="shared" si="1"/>
        <v>0</v>
      </c>
      <c r="U5" s="11">
        <f t="shared" si="2"/>
        <v>0</v>
      </c>
      <c r="V5" s="11">
        <f t="shared" si="3"/>
        <v>0</v>
      </c>
    </row>
    <row r="6" spans="1:23" x14ac:dyDescent="0.35">
      <c r="A6" s="2">
        <v>45259</v>
      </c>
      <c r="B6" t="s">
        <v>37</v>
      </c>
      <c r="C6" s="5" t="s">
        <v>38</v>
      </c>
      <c r="F6" t="s">
        <v>32</v>
      </c>
      <c r="G6" t="s">
        <v>33</v>
      </c>
      <c r="H6" t="s">
        <v>39</v>
      </c>
      <c r="I6">
        <v>39000</v>
      </c>
      <c r="J6" s="8">
        <v>-0.06</v>
      </c>
      <c r="K6">
        <v>30</v>
      </c>
      <c r="M6">
        <f t="shared" si="0"/>
        <v>0</v>
      </c>
      <c r="N6" t="s">
        <v>28</v>
      </c>
      <c r="O6" t="s">
        <v>35</v>
      </c>
      <c r="P6">
        <v>39000</v>
      </c>
      <c r="R6" s="9">
        <v>-0.06</v>
      </c>
      <c r="S6">
        <v>30</v>
      </c>
      <c r="T6" s="11">
        <f t="shared" si="1"/>
        <v>0</v>
      </c>
      <c r="U6" s="11">
        <f t="shared" si="2"/>
        <v>0</v>
      </c>
      <c r="V6" s="11">
        <f t="shared" si="3"/>
        <v>0</v>
      </c>
    </row>
    <row r="7" spans="1:23" x14ac:dyDescent="0.35">
      <c r="A7" s="2">
        <v>45259</v>
      </c>
      <c r="B7" t="s">
        <v>37</v>
      </c>
      <c r="C7" s="5" t="s">
        <v>38</v>
      </c>
      <c r="F7" t="s">
        <v>32</v>
      </c>
      <c r="G7" t="s">
        <v>33</v>
      </c>
      <c r="H7" t="s">
        <v>39</v>
      </c>
      <c r="I7">
        <v>38000</v>
      </c>
      <c r="J7" s="8">
        <v>-0.06</v>
      </c>
      <c r="K7">
        <v>30</v>
      </c>
      <c r="M7">
        <f t="shared" si="0"/>
        <v>0</v>
      </c>
      <c r="N7" t="s">
        <v>28</v>
      </c>
      <c r="O7" t="s">
        <v>35</v>
      </c>
      <c r="P7">
        <v>38000</v>
      </c>
      <c r="R7" s="9">
        <v>-0.06</v>
      </c>
      <c r="S7">
        <v>30</v>
      </c>
      <c r="T7" s="11">
        <f t="shared" si="1"/>
        <v>0</v>
      </c>
      <c r="U7" s="11">
        <f t="shared" si="2"/>
        <v>0</v>
      </c>
      <c r="V7" s="11">
        <f t="shared" si="3"/>
        <v>0</v>
      </c>
    </row>
    <row r="8" spans="1:23" x14ac:dyDescent="0.35">
      <c r="A8" s="2">
        <v>45259</v>
      </c>
      <c r="B8" t="s">
        <v>40</v>
      </c>
      <c r="C8" s="5" t="s">
        <v>41</v>
      </c>
      <c r="F8" t="s">
        <v>32</v>
      </c>
      <c r="G8" t="s">
        <v>33</v>
      </c>
      <c r="H8" t="s">
        <v>34</v>
      </c>
      <c r="I8">
        <v>42000</v>
      </c>
      <c r="J8" s="8">
        <v>-0.04</v>
      </c>
      <c r="K8">
        <v>30</v>
      </c>
      <c r="M8">
        <f t="shared" si="0"/>
        <v>0</v>
      </c>
      <c r="N8" t="s">
        <v>28</v>
      </c>
      <c r="O8" t="s">
        <v>35</v>
      </c>
      <c r="P8">
        <v>42000</v>
      </c>
      <c r="R8" s="9">
        <v>-0.06</v>
      </c>
      <c r="S8">
        <v>30</v>
      </c>
      <c r="T8" s="11">
        <f t="shared" si="1"/>
        <v>0</v>
      </c>
      <c r="U8" s="11">
        <f t="shared" si="2"/>
        <v>0</v>
      </c>
      <c r="V8" s="11">
        <f t="shared" si="3"/>
        <v>0</v>
      </c>
    </row>
    <row r="9" spans="1:23" x14ac:dyDescent="0.35">
      <c r="B9" t="s">
        <v>42</v>
      </c>
      <c r="D9" s="5" t="s">
        <v>43</v>
      </c>
      <c r="F9" t="s">
        <v>32</v>
      </c>
      <c r="G9" t="s">
        <v>44</v>
      </c>
      <c r="H9" t="s">
        <v>45</v>
      </c>
      <c r="I9">
        <v>44000</v>
      </c>
      <c r="J9" s="8">
        <v>-0.06</v>
      </c>
      <c r="K9">
        <v>30</v>
      </c>
      <c r="M9">
        <f t="shared" si="0"/>
        <v>0</v>
      </c>
      <c r="N9" t="s">
        <v>46</v>
      </c>
      <c r="O9" t="s">
        <v>47</v>
      </c>
      <c r="P9">
        <v>44750</v>
      </c>
      <c r="R9" s="9">
        <v>-0.06</v>
      </c>
      <c r="S9">
        <v>30</v>
      </c>
      <c r="T9" s="11">
        <f t="shared" si="1"/>
        <v>0</v>
      </c>
      <c r="U9" s="11">
        <f t="shared" si="2"/>
        <v>0</v>
      </c>
      <c r="V9" s="11">
        <f t="shared" si="3"/>
        <v>0</v>
      </c>
    </row>
    <row r="10" spans="1:23" x14ac:dyDescent="0.35">
      <c r="A10" s="2">
        <v>45265</v>
      </c>
      <c r="B10" t="s">
        <v>42</v>
      </c>
      <c r="D10" s="5" t="s">
        <v>48</v>
      </c>
      <c r="F10" t="s">
        <v>49</v>
      </c>
      <c r="G10" t="s">
        <v>50</v>
      </c>
      <c r="H10" t="s">
        <v>51</v>
      </c>
      <c r="I10">
        <v>17250</v>
      </c>
      <c r="J10" s="8">
        <v>-0.02</v>
      </c>
      <c r="K10">
        <v>180</v>
      </c>
      <c r="M10">
        <f t="shared" si="0"/>
        <v>0</v>
      </c>
      <c r="N10" t="s">
        <v>52</v>
      </c>
      <c r="O10" t="s">
        <v>53</v>
      </c>
      <c r="P10">
        <v>17500</v>
      </c>
      <c r="R10" s="9">
        <v>0</v>
      </c>
      <c r="S10">
        <v>150</v>
      </c>
      <c r="T10" s="11">
        <f t="shared" si="1"/>
        <v>0</v>
      </c>
      <c r="U10" s="11">
        <f t="shared" si="2"/>
        <v>0</v>
      </c>
      <c r="V10" s="11">
        <f t="shared" si="3"/>
        <v>0</v>
      </c>
    </row>
    <row r="11" spans="1:23" x14ac:dyDescent="0.35">
      <c r="A11" s="2">
        <v>45265</v>
      </c>
      <c r="B11" t="s">
        <v>54</v>
      </c>
      <c r="C11" s="5" t="s">
        <v>55</v>
      </c>
      <c r="F11" t="s">
        <v>56</v>
      </c>
      <c r="G11" t="s">
        <v>33</v>
      </c>
      <c r="H11" t="s">
        <v>57</v>
      </c>
      <c r="I11">
        <v>43000</v>
      </c>
      <c r="J11" s="8">
        <v>-0.04</v>
      </c>
      <c r="K11">
        <v>30</v>
      </c>
      <c r="M11">
        <f t="shared" si="0"/>
        <v>0</v>
      </c>
      <c r="N11" t="s">
        <v>28</v>
      </c>
      <c r="O11" t="s">
        <v>53</v>
      </c>
      <c r="P11">
        <v>48000</v>
      </c>
      <c r="R11" s="9">
        <v>0</v>
      </c>
      <c r="S11">
        <v>120</v>
      </c>
      <c r="T11" s="11">
        <f t="shared" si="1"/>
        <v>0</v>
      </c>
      <c r="U11" s="11">
        <f t="shared" si="2"/>
        <v>0</v>
      </c>
      <c r="V11" s="11">
        <f t="shared" si="3"/>
        <v>0</v>
      </c>
    </row>
    <row r="12" spans="1:23" x14ac:dyDescent="0.35">
      <c r="A12" s="2">
        <v>45265</v>
      </c>
      <c r="B12" t="s">
        <v>54</v>
      </c>
      <c r="C12" s="5" t="s">
        <v>58</v>
      </c>
      <c r="F12" t="s">
        <v>56</v>
      </c>
      <c r="G12" t="s">
        <v>33</v>
      </c>
      <c r="H12" t="s">
        <v>57</v>
      </c>
      <c r="I12">
        <v>55000</v>
      </c>
      <c r="J12" s="8">
        <v>-0.04</v>
      </c>
      <c r="K12">
        <v>30</v>
      </c>
      <c r="M12">
        <f t="shared" si="0"/>
        <v>0</v>
      </c>
      <c r="N12" t="s">
        <v>28</v>
      </c>
      <c r="O12" t="s">
        <v>53</v>
      </c>
      <c r="P12">
        <v>55000</v>
      </c>
      <c r="R12" s="9">
        <v>0</v>
      </c>
      <c r="S12">
        <v>120</v>
      </c>
      <c r="T12" s="11">
        <f t="shared" si="1"/>
        <v>0</v>
      </c>
      <c r="U12" s="11">
        <f t="shared" si="2"/>
        <v>0</v>
      </c>
      <c r="V12" s="11">
        <f t="shared" si="3"/>
        <v>0</v>
      </c>
    </row>
    <row r="13" spans="1:23" x14ac:dyDescent="0.35">
      <c r="A13" s="2">
        <v>45273</v>
      </c>
      <c r="B13" t="s">
        <v>42</v>
      </c>
      <c r="D13" s="5" t="s">
        <v>59</v>
      </c>
      <c r="F13" t="s">
        <v>49</v>
      </c>
      <c r="G13" t="s">
        <v>60</v>
      </c>
      <c r="H13" t="s">
        <v>61</v>
      </c>
      <c r="I13">
        <v>14000</v>
      </c>
      <c r="J13" s="8">
        <v>-0.08</v>
      </c>
      <c r="K13">
        <v>30</v>
      </c>
      <c r="M13">
        <f t="shared" si="0"/>
        <v>0</v>
      </c>
      <c r="N13" t="s">
        <v>52</v>
      </c>
      <c r="O13" t="s">
        <v>53</v>
      </c>
      <c r="P13">
        <v>14000</v>
      </c>
      <c r="R13" s="9">
        <v>0</v>
      </c>
      <c r="S13">
        <v>150</v>
      </c>
      <c r="T13" s="11">
        <f t="shared" si="1"/>
        <v>0</v>
      </c>
      <c r="U13" s="11">
        <f t="shared" si="2"/>
        <v>0</v>
      </c>
      <c r="V13" s="11">
        <f t="shared" si="3"/>
        <v>0</v>
      </c>
    </row>
    <row r="14" spans="1:23" x14ac:dyDescent="0.35">
      <c r="A14" s="2">
        <v>45290</v>
      </c>
      <c r="B14" t="s">
        <v>42</v>
      </c>
      <c r="D14" s="5" t="s">
        <v>59</v>
      </c>
      <c r="F14" t="s">
        <v>32</v>
      </c>
      <c r="G14" t="s">
        <v>33</v>
      </c>
      <c r="H14" t="s">
        <v>61</v>
      </c>
      <c r="I14">
        <v>34000</v>
      </c>
      <c r="J14" s="8">
        <v>-0.06</v>
      </c>
      <c r="K14">
        <v>30</v>
      </c>
      <c r="M14">
        <f t="shared" si="0"/>
        <v>0</v>
      </c>
      <c r="N14" t="s">
        <v>62</v>
      </c>
      <c r="O14" t="s">
        <v>35</v>
      </c>
      <c r="P14">
        <v>34000</v>
      </c>
      <c r="R14" s="9">
        <v>-0.06</v>
      </c>
      <c r="S14">
        <v>30</v>
      </c>
      <c r="T14" s="11">
        <f t="shared" si="1"/>
        <v>0</v>
      </c>
      <c r="U14" s="11">
        <f t="shared" si="2"/>
        <v>0</v>
      </c>
      <c r="V14" s="11">
        <f t="shared" si="3"/>
        <v>0</v>
      </c>
    </row>
    <row r="15" spans="1:23" x14ac:dyDescent="0.35">
      <c r="A15" s="2">
        <v>45300</v>
      </c>
      <c r="B15" t="s">
        <v>37</v>
      </c>
      <c r="C15" s="5" t="s">
        <v>63</v>
      </c>
      <c r="F15" t="s">
        <v>32</v>
      </c>
      <c r="G15" t="s">
        <v>33</v>
      </c>
      <c r="H15" t="s">
        <v>64</v>
      </c>
      <c r="I15">
        <v>52000</v>
      </c>
      <c r="J15" s="8">
        <v>-0.06</v>
      </c>
      <c r="K15">
        <v>30</v>
      </c>
      <c r="M15">
        <f t="shared" si="0"/>
        <v>0</v>
      </c>
      <c r="N15" t="s">
        <v>65</v>
      </c>
      <c r="O15" t="s">
        <v>35</v>
      </c>
      <c r="P15">
        <v>52000</v>
      </c>
      <c r="R15" s="9">
        <v>-0.06</v>
      </c>
      <c r="S15">
        <v>30</v>
      </c>
      <c r="T15" s="11">
        <f t="shared" si="1"/>
        <v>0</v>
      </c>
      <c r="U15" s="11">
        <f t="shared" si="2"/>
        <v>0</v>
      </c>
      <c r="V15" s="11">
        <f t="shared" si="3"/>
        <v>0</v>
      </c>
    </row>
    <row r="16" spans="1:23" x14ac:dyDescent="0.35">
      <c r="A16" s="2">
        <v>45300</v>
      </c>
      <c r="B16" t="s">
        <v>30</v>
      </c>
      <c r="E16" s="5" t="s">
        <v>66</v>
      </c>
      <c r="F16" t="s">
        <v>32</v>
      </c>
      <c r="G16" t="s">
        <v>33</v>
      </c>
      <c r="H16" t="s">
        <v>34</v>
      </c>
      <c r="I16">
        <v>53000</v>
      </c>
      <c r="J16" s="8">
        <v>-0.06</v>
      </c>
      <c r="K16">
        <v>30</v>
      </c>
      <c r="M16">
        <f t="shared" si="0"/>
        <v>0</v>
      </c>
      <c r="N16" t="s">
        <v>28</v>
      </c>
      <c r="O16" t="s">
        <v>35</v>
      </c>
      <c r="P16">
        <v>53000</v>
      </c>
      <c r="R16" s="9">
        <v>-0.06</v>
      </c>
      <c r="S16">
        <v>30</v>
      </c>
      <c r="T16" s="11">
        <f t="shared" si="1"/>
        <v>0</v>
      </c>
      <c r="U16" s="11">
        <f t="shared" si="2"/>
        <v>0</v>
      </c>
      <c r="V16" s="11">
        <f t="shared" si="3"/>
        <v>0</v>
      </c>
    </row>
    <row r="17" spans="1:22" x14ac:dyDescent="0.35">
      <c r="A17" s="2">
        <v>45303</v>
      </c>
      <c r="B17" t="s">
        <v>67</v>
      </c>
      <c r="C17" s="5" t="s">
        <v>68</v>
      </c>
      <c r="F17" t="s">
        <v>32</v>
      </c>
      <c r="G17" t="s">
        <v>26</v>
      </c>
      <c r="H17" t="s">
        <v>69</v>
      </c>
      <c r="I17">
        <v>165000</v>
      </c>
      <c r="J17" s="8">
        <v>-0.06</v>
      </c>
      <c r="K17">
        <v>30</v>
      </c>
      <c r="M17">
        <f t="shared" si="0"/>
        <v>0</v>
      </c>
      <c r="N17" t="s">
        <v>28</v>
      </c>
      <c r="O17" t="s">
        <v>35</v>
      </c>
      <c r="P17">
        <v>165000</v>
      </c>
      <c r="R17" s="9">
        <v>-0.06</v>
      </c>
      <c r="S17">
        <v>30</v>
      </c>
      <c r="T17" s="11">
        <f t="shared" si="1"/>
        <v>0</v>
      </c>
      <c r="U17" s="11">
        <f t="shared" si="2"/>
        <v>0</v>
      </c>
      <c r="V17" s="11">
        <f t="shared" si="3"/>
        <v>0</v>
      </c>
    </row>
    <row r="18" spans="1:22" x14ac:dyDescent="0.35">
      <c r="A18" s="2">
        <v>45307</v>
      </c>
      <c r="H18" t="s">
        <v>69</v>
      </c>
      <c r="K18">
        <v>30</v>
      </c>
      <c r="M18">
        <f t="shared" si="0"/>
        <v>0</v>
      </c>
      <c r="N18" t="s">
        <v>28</v>
      </c>
      <c r="O18" t="s">
        <v>35</v>
      </c>
      <c r="R18" s="9"/>
      <c r="S18">
        <v>30</v>
      </c>
      <c r="T18" s="11">
        <f t="shared" si="1"/>
        <v>0</v>
      </c>
      <c r="U18" s="11">
        <f t="shared" si="2"/>
        <v>0</v>
      </c>
      <c r="V18" s="11">
        <f t="shared" si="3"/>
        <v>0</v>
      </c>
    </row>
    <row r="19" spans="1:22" x14ac:dyDescent="0.35">
      <c r="A19" s="2">
        <v>45315</v>
      </c>
      <c r="B19" t="s">
        <v>30</v>
      </c>
      <c r="C19" s="5" t="s">
        <v>63</v>
      </c>
      <c r="F19" t="s">
        <v>32</v>
      </c>
      <c r="G19" t="s">
        <v>33</v>
      </c>
      <c r="H19" t="s">
        <v>70</v>
      </c>
      <c r="I19">
        <v>52500</v>
      </c>
      <c r="J19" s="8">
        <v>-0.06</v>
      </c>
      <c r="K19">
        <v>30</v>
      </c>
      <c r="M19">
        <f t="shared" si="0"/>
        <v>0</v>
      </c>
      <c r="N19" t="s">
        <v>28</v>
      </c>
      <c r="O19" t="s">
        <v>35</v>
      </c>
      <c r="P19">
        <v>52500</v>
      </c>
      <c r="R19" s="9">
        <v>-0.06</v>
      </c>
      <c r="S19">
        <v>30</v>
      </c>
      <c r="T19" s="11">
        <f t="shared" si="1"/>
        <v>0</v>
      </c>
      <c r="U19" s="11">
        <f t="shared" si="2"/>
        <v>0</v>
      </c>
      <c r="V19" s="11">
        <f t="shared" si="3"/>
        <v>0</v>
      </c>
    </row>
    <row r="20" spans="1:22" x14ac:dyDescent="0.35">
      <c r="A20" s="2">
        <v>45325</v>
      </c>
      <c r="B20" t="s">
        <v>42</v>
      </c>
      <c r="D20" s="5" t="s">
        <v>71</v>
      </c>
      <c r="F20" t="s">
        <v>72</v>
      </c>
      <c r="H20" t="s">
        <v>73</v>
      </c>
      <c r="I20">
        <v>21250</v>
      </c>
      <c r="J20" s="8">
        <v>-0.08</v>
      </c>
      <c r="K20">
        <v>30</v>
      </c>
      <c r="M20">
        <f t="shared" si="0"/>
        <v>0</v>
      </c>
      <c r="N20" t="s">
        <v>52</v>
      </c>
      <c r="O20" t="s">
        <v>74</v>
      </c>
      <c r="P20">
        <v>21500</v>
      </c>
      <c r="R20" s="9">
        <v>-0.06</v>
      </c>
      <c r="S20">
        <v>30</v>
      </c>
      <c r="T20" s="11">
        <f t="shared" si="1"/>
        <v>0</v>
      </c>
      <c r="U20" s="11">
        <f t="shared" si="2"/>
        <v>0</v>
      </c>
      <c r="V20" s="11">
        <f t="shared" si="3"/>
        <v>0</v>
      </c>
    </row>
    <row r="21" spans="1:22" x14ac:dyDescent="0.35">
      <c r="A21" s="2">
        <v>45327</v>
      </c>
      <c r="B21" t="s">
        <v>23</v>
      </c>
      <c r="D21" s="5" t="s">
        <v>24</v>
      </c>
      <c r="F21" t="s">
        <v>72</v>
      </c>
      <c r="G21" t="s">
        <v>26</v>
      </c>
      <c r="H21" t="s">
        <v>75</v>
      </c>
      <c r="I21">
        <v>33000</v>
      </c>
      <c r="J21" s="8">
        <v>-0.05</v>
      </c>
      <c r="K21">
        <v>30</v>
      </c>
      <c r="M21">
        <f t="shared" si="0"/>
        <v>0</v>
      </c>
      <c r="N21" t="s">
        <v>28</v>
      </c>
      <c r="O21" t="s">
        <v>29</v>
      </c>
      <c r="P21">
        <v>33750</v>
      </c>
      <c r="S21">
        <v>120</v>
      </c>
      <c r="T21" s="11">
        <f t="shared" si="1"/>
        <v>0</v>
      </c>
      <c r="U21" s="11">
        <f t="shared" si="2"/>
        <v>0</v>
      </c>
      <c r="V21" s="11">
        <f t="shared" si="3"/>
        <v>0</v>
      </c>
    </row>
    <row r="22" spans="1:22" x14ac:dyDescent="0.35">
      <c r="A22" s="2">
        <v>45329</v>
      </c>
      <c r="B22" t="s">
        <v>42</v>
      </c>
      <c r="D22" s="5" t="s">
        <v>76</v>
      </c>
      <c r="F22" t="s">
        <v>72</v>
      </c>
      <c r="G22" t="s">
        <v>50</v>
      </c>
      <c r="H22" t="s">
        <v>61</v>
      </c>
      <c r="I22">
        <v>17750</v>
      </c>
      <c r="J22" s="8">
        <v>-0.08</v>
      </c>
      <c r="K22">
        <v>30</v>
      </c>
      <c r="M22">
        <f t="shared" si="0"/>
        <v>0</v>
      </c>
      <c r="N22" t="s">
        <v>52</v>
      </c>
      <c r="O22" t="s">
        <v>53</v>
      </c>
      <c r="P22">
        <v>17750</v>
      </c>
      <c r="S22">
        <v>150</v>
      </c>
      <c r="T22" s="11">
        <f t="shared" si="1"/>
        <v>0</v>
      </c>
      <c r="U22" s="11">
        <f t="shared" si="2"/>
        <v>0</v>
      </c>
      <c r="V22" s="11">
        <f t="shared" si="3"/>
        <v>0</v>
      </c>
    </row>
    <row r="23" spans="1:22" x14ac:dyDescent="0.35">
      <c r="A23" s="2">
        <v>45330</v>
      </c>
      <c r="B23" t="s">
        <v>42</v>
      </c>
      <c r="D23" s="5" t="s">
        <v>77</v>
      </c>
      <c r="F23" t="s">
        <v>32</v>
      </c>
      <c r="G23" t="s">
        <v>44</v>
      </c>
      <c r="H23" t="s">
        <v>78</v>
      </c>
      <c r="I23">
        <v>34000</v>
      </c>
      <c r="J23" s="8">
        <v>-0.04</v>
      </c>
      <c r="K23">
        <v>30</v>
      </c>
      <c r="M23">
        <f t="shared" si="0"/>
        <v>0</v>
      </c>
      <c r="N23" t="s">
        <v>79</v>
      </c>
      <c r="O23" t="s">
        <v>80</v>
      </c>
      <c r="P23">
        <v>34000</v>
      </c>
      <c r="S23">
        <v>30</v>
      </c>
      <c r="T23" s="11">
        <f t="shared" si="1"/>
        <v>0</v>
      </c>
      <c r="U23" s="11">
        <f t="shared" si="2"/>
        <v>0</v>
      </c>
      <c r="V23" s="11">
        <f t="shared" si="3"/>
        <v>0</v>
      </c>
    </row>
    <row r="24" spans="1:22" x14ac:dyDescent="0.35">
      <c r="A24" s="2">
        <v>45330</v>
      </c>
      <c r="B24" t="s">
        <v>81</v>
      </c>
      <c r="C24" s="5" t="s">
        <v>82</v>
      </c>
      <c r="F24" t="s">
        <v>32</v>
      </c>
      <c r="G24" t="s">
        <v>50</v>
      </c>
      <c r="H24" t="s">
        <v>83</v>
      </c>
      <c r="I24">
        <v>52000</v>
      </c>
      <c r="J24" s="8">
        <v>-0.04</v>
      </c>
      <c r="K24">
        <v>30</v>
      </c>
      <c r="M24">
        <f t="shared" si="0"/>
        <v>0</v>
      </c>
      <c r="N24" t="s">
        <v>28</v>
      </c>
      <c r="O24" t="s">
        <v>35</v>
      </c>
      <c r="P24">
        <v>52000</v>
      </c>
      <c r="R24" s="9">
        <v>-0.06</v>
      </c>
      <c r="S24">
        <v>30</v>
      </c>
      <c r="T24" s="11">
        <f t="shared" si="1"/>
        <v>0</v>
      </c>
      <c r="U24" s="11">
        <f t="shared" si="2"/>
        <v>0</v>
      </c>
      <c r="V24" s="11">
        <f t="shared" si="3"/>
        <v>0</v>
      </c>
    </row>
    <row r="25" spans="1:22" x14ac:dyDescent="0.35">
      <c r="A25" s="3">
        <v>45335</v>
      </c>
      <c r="B25" t="s">
        <v>42</v>
      </c>
      <c r="C25" s="5" t="s">
        <v>84</v>
      </c>
      <c r="F25" t="s">
        <v>32</v>
      </c>
      <c r="G25" t="s">
        <v>50</v>
      </c>
      <c r="H25" t="s">
        <v>85</v>
      </c>
      <c r="I25">
        <v>53000</v>
      </c>
      <c r="J25" s="8">
        <v>-0.06</v>
      </c>
      <c r="K25">
        <v>30</v>
      </c>
      <c r="M25">
        <f t="shared" si="0"/>
        <v>0</v>
      </c>
      <c r="N25" t="s">
        <v>79</v>
      </c>
      <c r="O25" t="s">
        <v>35</v>
      </c>
      <c r="P25">
        <v>53000</v>
      </c>
      <c r="R25" s="9">
        <v>-0.06</v>
      </c>
      <c r="S25">
        <v>30</v>
      </c>
      <c r="T25" s="11">
        <f t="shared" si="1"/>
        <v>0</v>
      </c>
      <c r="U25" s="11">
        <f t="shared" si="2"/>
        <v>0</v>
      </c>
      <c r="V25" s="11">
        <f t="shared" si="3"/>
        <v>0</v>
      </c>
    </row>
    <row r="26" spans="1:22" x14ac:dyDescent="0.35">
      <c r="A26" s="2">
        <v>45343</v>
      </c>
      <c r="B26" t="s">
        <v>86</v>
      </c>
      <c r="C26" s="5" t="s">
        <v>87</v>
      </c>
      <c r="E26" s="5" t="s">
        <v>36</v>
      </c>
      <c r="F26" t="s">
        <v>32</v>
      </c>
      <c r="G26" t="s">
        <v>33</v>
      </c>
      <c r="H26" t="s">
        <v>88</v>
      </c>
      <c r="I26">
        <v>165000</v>
      </c>
      <c r="J26" s="8">
        <v>-0.04</v>
      </c>
      <c r="K26">
        <v>30</v>
      </c>
      <c r="M26">
        <f t="shared" si="0"/>
        <v>0</v>
      </c>
      <c r="N26" t="s">
        <v>28</v>
      </c>
      <c r="O26" t="s">
        <v>35</v>
      </c>
      <c r="P26">
        <v>165000</v>
      </c>
      <c r="R26" s="9">
        <v>-0.06</v>
      </c>
      <c r="S26">
        <v>30</v>
      </c>
      <c r="T26" s="11">
        <f t="shared" si="1"/>
        <v>0</v>
      </c>
      <c r="U26" s="11">
        <f t="shared" si="2"/>
        <v>0</v>
      </c>
      <c r="V26" s="11">
        <f t="shared" si="3"/>
        <v>0</v>
      </c>
    </row>
    <row r="27" spans="1:22" x14ac:dyDescent="0.35">
      <c r="A27" s="2">
        <v>45345</v>
      </c>
      <c r="B27" t="s">
        <v>54</v>
      </c>
      <c r="C27" s="5" t="s">
        <v>63</v>
      </c>
      <c r="F27" t="s">
        <v>32</v>
      </c>
      <c r="G27" t="s">
        <v>50</v>
      </c>
      <c r="H27" t="s">
        <v>89</v>
      </c>
      <c r="J27" s="8">
        <v>-0.06</v>
      </c>
      <c r="K27">
        <v>30</v>
      </c>
      <c r="M27">
        <f t="shared" si="0"/>
        <v>0</v>
      </c>
      <c r="N27" t="s">
        <v>65</v>
      </c>
      <c r="O27" t="s">
        <v>35</v>
      </c>
      <c r="R27" s="9"/>
      <c r="S27">
        <v>30</v>
      </c>
      <c r="T27" s="11">
        <f t="shared" si="1"/>
        <v>0</v>
      </c>
      <c r="U27" s="11">
        <f t="shared" si="2"/>
        <v>0</v>
      </c>
      <c r="V27" s="11">
        <f t="shared" si="3"/>
        <v>0</v>
      </c>
    </row>
    <row r="28" spans="1:22" x14ac:dyDescent="0.35">
      <c r="A28" s="2">
        <v>45348</v>
      </c>
      <c r="B28" t="s">
        <v>42</v>
      </c>
      <c r="D28" s="5" t="s">
        <v>90</v>
      </c>
      <c r="F28" t="s">
        <v>91</v>
      </c>
      <c r="H28" t="s">
        <v>92</v>
      </c>
      <c r="I28">
        <v>52500</v>
      </c>
      <c r="J28" s="8">
        <v>-0.06</v>
      </c>
      <c r="K28">
        <v>30</v>
      </c>
      <c r="M28">
        <f t="shared" si="0"/>
        <v>0</v>
      </c>
      <c r="O28" t="s">
        <v>35</v>
      </c>
      <c r="P28">
        <v>52500</v>
      </c>
      <c r="R28" s="9">
        <v>-0.06</v>
      </c>
      <c r="S28">
        <v>30</v>
      </c>
      <c r="T28" s="11">
        <f t="shared" si="1"/>
        <v>0</v>
      </c>
      <c r="U28" s="11">
        <f t="shared" si="2"/>
        <v>0</v>
      </c>
      <c r="V28" s="11">
        <f t="shared" si="3"/>
        <v>0</v>
      </c>
    </row>
    <row r="29" spans="1:22" x14ac:dyDescent="0.35">
      <c r="A29" s="2">
        <v>45350</v>
      </c>
      <c r="B29" t="s">
        <v>42</v>
      </c>
      <c r="D29" s="5" t="s">
        <v>48</v>
      </c>
      <c r="F29" t="s">
        <v>49</v>
      </c>
      <c r="G29" t="s">
        <v>50</v>
      </c>
      <c r="H29" t="s">
        <v>61</v>
      </c>
      <c r="I29">
        <v>17250</v>
      </c>
      <c r="J29" s="8">
        <v>-0.08</v>
      </c>
      <c r="K29">
        <v>30</v>
      </c>
      <c r="M29">
        <f t="shared" si="0"/>
        <v>0</v>
      </c>
      <c r="N29" t="s">
        <v>52</v>
      </c>
      <c r="O29" t="s">
        <v>53</v>
      </c>
      <c r="P29">
        <v>17431</v>
      </c>
      <c r="S29">
        <v>150</v>
      </c>
      <c r="T29" s="11">
        <f t="shared" si="1"/>
        <v>0</v>
      </c>
      <c r="U29" s="11">
        <f t="shared" si="2"/>
        <v>0</v>
      </c>
      <c r="V29" s="11">
        <f t="shared" si="3"/>
        <v>0</v>
      </c>
    </row>
    <row r="30" spans="1:22" x14ac:dyDescent="0.35">
      <c r="A30" s="2">
        <v>45351</v>
      </c>
      <c r="B30" t="s">
        <v>42</v>
      </c>
      <c r="D30" s="5" t="s">
        <v>93</v>
      </c>
      <c r="F30" t="s">
        <v>32</v>
      </c>
      <c r="G30" t="s">
        <v>44</v>
      </c>
      <c r="H30" t="s">
        <v>94</v>
      </c>
      <c r="I30">
        <v>73500</v>
      </c>
      <c r="J30" s="8">
        <v>-0.04</v>
      </c>
      <c r="K30">
        <v>30</v>
      </c>
      <c r="M30">
        <f t="shared" si="0"/>
        <v>0</v>
      </c>
      <c r="N30" t="s">
        <v>95</v>
      </c>
      <c r="O30" t="s">
        <v>80</v>
      </c>
      <c r="P30">
        <v>73500</v>
      </c>
      <c r="S30">
        <v>30</v>
      </c>
      <c r="T30" s="11">
        <f t="shared" si="1"/>
        <v>0</v>
      </c>
      <c r="U30" s="11">
        <f t="shared" si="2"/>
        <v>0</v>
      </c>
      <c r="V30" s="11">
        <f t="shared" si="3"/>
        <v>0</v>
      </c>
    </row>
    <row r="31" spans="1:22" x14ac:dyDescent="0.35">
      <c r="A31" s="2">
        <v>45352</v>
      </c>
      <c r="B31" t="s">
        <v>42</v>
      </c>
      <c r="D31" s="5" t="s">
        <v>48</v>
      </c>
      <c r="F31" t="s">
        <v>32</v>
      </c>
      <c r="G31" t="s">
        <v>33</v>
      </c>
      <c r="H31" t="s">
        <v>96</v>
      </c>
      <c r="I31">
        <v>33300</v>
      </c>
      <c r="J31" s="8">
        <v>-0.06</v>
      </c>
      <c r="K31">
        <v>30</v>
      </c>
      <c r="M31">
        <f t="shared" si="0"/>
        <v>0</v>
      </c>
      <c r="N31" t="s">
        <v>97</v>
      </c>
      <c r="O31" t="s">
        <v>35</v>
      </c>
      <c r="P31">
        <v>33300</v>
      </c>
      <c r="R31" s="9">
        <v>-0.06</v>
      </c>
      <c r="S31">
        <v>30</v>
      </c>
      <c r="T31" s="11">
        <f t="shared" si="1"/>
        <v>0</v>
      </c>
      <c r="U31" s="11">
        <f t="shared" si="2"/>
        <v>0</v>
      </c>
      <c r="V31" s="11">
        <f t="shared" si="3"/>
        <v>0</v>
      </c>
    </row>
    <row r="32" spans="1:22" x14ac:dyDescent="0.35">
      <c r="A32" s="2">
        <v>45356</v>
      </c>
      <c r="B32" t="s">
        <v>42</v>
      </c>
      <c r="D32" s="5" t="s">
        <v>98</v>
      </c>
      <c r="F32" t="s">
        <v>32</v>
      </c>
      <c r="G32" t="s">
        <v>33</v>
      </c>
      <c r="H32" t="s">
        <v>96</v>
      </c>
      <c r="I32">
        <v>33000</v>
      </c>
      <c r="J32" s="8">
        <v>-0.06</v>
      </c>
      <c r="K32">
        <v>30</v>
      </c>
      <c r="M32">
        <f t="shared" si="0"/>
        <v>0</v>
      </c>
      <c r="N32" t="s">
        <v>97</v>
      </c>
      <c r="O32" t="s">
        <v>35</v>
      </c>
      <c r="P32">
        <v>33000</v>
      </c>
      <c r="R32" s="9">
        <v>-0.06</v>
      </c>
      <c r="S32">
        <v>30</v>
      </c>
      <c r="T32" s="11">
        <f t="shared" si="1"/>
        <v>0</v>
      </c>
      <c r="U32" s="11">
        <f t="shared" si="2"/>
        <v>0</v>
      </c>
      <c r="V32" s="11">
        <f t="shared" si="3"/>
        <v>0</v>
      </c>
    </row>
    <row r="33" spans="1:22" x14ac:dyDescent="0.35">
      <c r="A33" s="2">
        <v>45363</v>
      </c>
      <c r="B33" t="s">
        <v>30</v>
      </c>
      <c r="C33" s="5" t="s">
        <v>63</v>
      </c>
      <c r="F33" t="s">
        <v>32</v>
      </c>
      <c r="G33" t="s">
        <v>33</v>
      </c>
      <c r="H33" t="s">
        <v>70</v>
      </c>
      <c r="I33">
        <v>52500</v>
      </c>
      <c r="J33" s="8">
        <v>-0.06</v>
      </c>
      <c r="K33">
        <v>30</v>
      </c>
      <c r="M33">
        <f t="shared" si="0"/>
        <v>0</v>
      </c>
      <c r="N33" t="s">
        <v>28</v>
      </c>
      <c r="O33" t="s">
        <v>35</v>
      </c>
      <c r="P33">
        <v>52500</v>
      </c>
      <c r="R33" s="9">
        <v>-0.06</v>
      </c>
      <c r="S33">
        <v>30</v>
      </c>
      <c r="T33" s="11">
        <f t="shared" si="1"/>
        <v>0</v>
      </c>
      <c r="U33" s="11">
        <f t="shared" si="2"/>
        <v>0</v>
      </c>
      <c r="V33" s="11">
        <f t="shared" si="3"/>
        <v>0</v>
      </c>
    </row>
    <row r="34" spans="1:22" x14ac:dyDescent="0.35">
      <c r="A34" s="2">
        <v>45335</v>
      </c>
      <c r="B34" t="s">
        <v>37</v>
      </c>
      <c r="C34" s="5" t="s">
        <v>63</v>
      </c>
      <c r="F34" t="s">
        <v>32</v>
      </c>
      <c r="G34" t="s">
        <v>33</v>
      </c>
      <c r="H34" t="s">
        <v>99</v>
      </c>
      <c r="I34">
        <v>50000</v>
      </c>
      <c r="J34" s="8">
        <v>-0.06</v>
      </c>
      <c r="K34">
        <v>30</v>
      </c>
      <c r="M34">
        <f t="shared" si="0"/>
        <v>0</v>
      </c>
      <c r="N34" t="s">
        <v>28</v>
      </c>
      <c r="O34" t="s">
        <v>35</v>
      </c>
      <c r="P34">
        <v>50000</v>
      </c>
      <c r="R34" s="9">
        <v>-0.06</v>
      </c>
      <c r="S34">
        <v>30</v>
      </c>
      <c r="T34" s="11">
        <f t="shared" si="1"/>
        <v>0</v>
      </c>
      <c r="U34" s="11">
        <f t="shared" si="2"/>
        <v>0</v>
      </c>
      <c r="V34" s="11">
        <f t="shared" si="3"/>
        <v>0</v>
      </c>
    </row>
    <row r="35" spans="1:22" x14ac:dyDescent="0.35">
      <c r="A35" s="2">
        <v>45372</v>
      </c>
      <c r="B35" t="s">
        <v>67</v>
      </c>
      <c r="C35" s="5" t="s">
        <v>100</v>
      </c>
      <c r="F35" t="s">
        <v>32</v>
      </c>
      <c r="H35" t="s">
        <v>65</v>
      </c>
      <c r="K35">
        <v>30</v>
      </c>
      <c r="M35">
        <f t="shared" si="0"/>
        <v>0</v>
      </c>
      <c r="N35" t="s">
        <v>65</v>
      </c>
      <c r="S35">
        <v>30</v>
      </c>
      <c r="T35" s="11">
        <f t="shared" si="1"/>
        <v>0</v>
      </c>
      <c r="U35" s="11">
        <f t="shared" si="2"/>
        <v>0</v>
      </c>
      <c r="V35" s="11">
        <f t="shared" si="3"/>
        <v>0</v>
      </c>
    </row>
    <row r="36" spans="1:22" x14ac:dyDescent="0.35">
      <c r="A36" s="2">
        <v>45380</v>
      </c>
      <c r="B36" t="s">
        <v>42</v>
      </c>
      <c r="D36" s="5" t="s">
        <v>101</v>
      </c>
      <c r="F36" t="s">
        <v>72</v>
      </c>
      <c r="H36" t="s">
        <v>73</v>
      </c>
      <c r="I36">
        <v>26760</v>
      </c>
      <c r="J36" s="8">
        <v>-0.08</v>
      </c>
      <c r="K36">
        <v>30</v>
      </c>
      <c r="M36">
        <f t="shared" si="0"/>
        <v>0</v>
      </c>
      <c r="N36" t="s">
        <v>52</v>
      </c>
      <c r="O36" t="s">
        <v>74</v>
      </c>
      <c r="P36">
        <v>26800</v>
      </c>
      <c r="R36" s="9">
        <v>-0.08</v>
      </c>
      <c r="S36">
        <v>30</v>
      </c>
      <c r="T36" s="11">
        <f t="shared" si="1"/>
        <v>0</v>
      </c>
      <c r="U36" s="11">
        <f t="shared" si="2"/>
        <v>0</v>
      </c>
      <c r="V36" s="11">
        <f t="shared" si="3"/>
        <v>0</v>
      </c>
    </row>
    <row r="37" spans="1:22" x14ac:dyDescent="0.35">
      <c r="A37" s="2">
        <v>45384</v>
      </c>
      <c r="B37" t="s">
        <v>42</v>
      </c>
      <c r="D37" s="5" t="s">
        <v>48</v>
      </c>
      <c r="F37" t="s">
        <v>32</v>
      </c>
      <c r="G37" t="s">
        <v>33</v>
      </c>
      <c r="H37" t="s">
        <v>85</v>
      </c>
      <c r="I37">
        <v>33400</v>
      </c>
      <c r="J37" s="8">
        <v>-0.06</v>
      </c>
      <c r="K37">
        <v>30</v>
      </c>
      <c r="M37">
        <f t="shared" si="0"/>
        <v>0</v>
      </c>
      <c r="N37" t="s">
        <v>79</v>
      </c>
      <c r="O37" t="s">
        <v>35</v>
      </c>
      <c r="P37">
        <v>33400</v>
      </c>
      <c r="R37" s="9">
        <v>-0.06</v>
      </c>
      <c r="S37">
        <v>30</v>
      </c>
      <c r="T37" s="11">
        <f t="shared" si="1"/>
        <v>0</v>
      </c>
      <c r="U37" s="11">
        <f t="shared" si="2"/>
        <v>0</v>
      </c>
      <c r="V37" s="11">
        <f t="shared" si="3"/>
        <v>0</v>
      </c>
    </row>
    <row r="38" spans="1:22" x14ac:dyDescent="0.35">
      <c r="A38" s="2">
        <v>45386</v>
      </c>
      <c r="B38" t="s">
        <v>42</v>
      </c>
      <c r="D38" s="5" t="s">
        <v>102</v>
      </c>
      <c r="F38" t="s">
        <v>32</v>
      </c>
      <c r="G38" t="s">
        <v>33</v>
      </c>
      <c r="H38" t="s">
        <v>103</v>
      </c>
      <c r="I38">
        <v>34000</v>
      </c>
      <c r="J38" s="8">
        <v>-0.06</v>
      </c>
      <c r="K38">
        <v>30</v>
      </c>
      <c r="M38">
        <f t="shared" si="0"/>
        <v>0</v>
      </c>
      <c r="N38" t="s">
        <v>47</v>
      </c>
      <c r="O38" t="s">
        <v>35</v>
      </c>
      <c r="P38">
        <v>34000</v>
      </c>
      <c r="R38" s="9">
        <v>-0.06</v>
      </c>
      <c r="S38">
        <v>30</v>
      </c>
      <c r="T38" s="11">
        <f t="shared" si="1"/>
        <v>0</v>
      </c>
      <c r="U38" s="11">
        <f t="shared" si="2"/>
        <v>0</v>
      </c>
      <c r="V38" s="11">
        <f t="shared" si="3"/>
        <v>0</v>
      </c>
    </row>
    <row r="39" spans="1:22" x14ac:dyDescent="0.35">
      <c r="A39" s="2">
        <v>45421</v>
      </c>
      <c r="B39" t="s">
        <v>42</v>
      </c>
      <c r="D39" s="5" t="s">
        <v>101</v>
      </c>
      <c r="F39" t="s">
        <v>72</v>
      </c>
      <c r="H39" t="s">
        <v>73</v>
      </c>
      <c r="I39">
        <v>22000</v>
      </c>
      <c r="J39" s="8">
        <v>-0.08</v>
      </c>
      <c r="K39">
        <v>30</v>
      </c>
      <c r="M39">
        <f t="shared" si="0"/>
        <v>0</v>
      </c>
      <c r="N39" t="s">
        <v>52</v>
      </c>
      <c r="O39" t="s">
        <v>74</v>
      </c>
      <c r="P39">
        <v>22000</v>
      </c>
      <c r="R39" s="9">
        <v>-0.06</v>
      </c>
      <c r="S39">
        <v>30</v>
      </c>
      <c r="T39" s="11">
        <f t="shared" si="1"/>
        <v>0</v>
      </c>
      <c r="U39" s="11">
        <f t="shared" si="2"/>
        <v>0</v>
      </c>
      <c r="V39" s="11">
        <f t="shared" si="3"/>
        <v>0</v>
      </c>
    </row>
    <row r="40" spans="1:22" x14ac:dyDescent="0.35">
      <c r="A40" s="2">
        <v>45422</v>
      </c>
      <c r="B40" t="s">
        <v>42</v>
      </c>
      <c r="D40" s="5" t="s">
        <v>104</v>
      </c>
      <c r="F40" t="s">
        <v>32</v>
      </c>
      <c r="G40" t="s">
        <v>50</v>
      </c>
      <c r="H40" t="s">
        <v>85</v>
      </c>
      <c r="I40">
        <v>28500</v>
      </c>
      <c r="J40" s="8">
        <v>-0.06</v>
      </c>
      <c r="K40">
        <v>30</v>
      </c>
      <c r="M40">
        <f t="shared" si="0"/>
        <v>0</v>
      </c>
      <c r="N40" t="s">
        <v>79</v>
      </c>
      <c r="O40" t="s">
        <v>35</v>
      </c>
      <c r="P40">
        <v>28500</v>
      </c>
      <c r="R40" s="9">
        <v>-0.06</v>
      </c>
      <c r="S40">
        <v>30</v>
      </c>
      <c r="T40" s="11">
        <f t="shared" si="1"/>
        <v>0</v>
      </c>
      <c r="U40" s="11">
        <f t="shared" si="2"/>
        <v>0</v>
      </c>
      <c r="V40" s="11">
        <f t="shared" si="3"/>
        <v>0</v>
      </c>
    </row>
    <row r="41" spans="1:22" x14ac:dyDescent="0.35">
      <c r="A41" s="2">
        <v>45442</v>
      </c>
      <c r="B41" t="s">
        <v>42</v>
      </c>
      <c r="D41" s="5" t="s">
        <v>104</v>
      </c>
      <c r="F41" t="s">
        <v>72</v>
      </c>
      <c r="H41" t="s">
        <v>51</v>
      </c>
      <c r="I41">
        <v>26750</v>
      </c>
      <c r="J41" s="8">
        <v>-0.09</v>
      </c>
      <c r="K41">
        <v>30</v>
      </c>
      <c r="M41">
        <f t="shared" si="0"/>
        <v>0</v>
      </c>
      <c r="N41" t="s">
        <v>52</v>
      </c>
      <c r="O41" t="s">
        <v>74</v>
      </c>
      <c r="P41">
        <v>26900</v>
      </c>
      <c r="R41" s="9">
        <v>-0.06</v>
      </c>
      <c r="S41">
        <v>30</v>
      </c>
      <c r="T41" s="11">
        <f t="shared" si="1"/>
        <v>0</v>
      </c>
      <c r="U41" s="11">
        <f t="shared" si="2"/>
        <v>0</v>
      </c>
      <c r="V41" s="11">
        <f t="shared" si="3"/>
        <v>0</v>
      </c>
    </row>
    <row r="42" spans="1:22" x14ac:dyDescent="0.35">
      <c r="A42" s="2">
        <v>45442</v>
      </c>
      <c r="B42" t="s">
        <v>37</v>
      </c>
      <c r="C42" s="5" t="s">
        <v>105</v>
      </c>
      <c r="E42" s="5" t="s">
        <v>36</v>
      </c>
      <c r="F42" t="s">
        <v>32</v>
      </c>
      <c r="G42" t="s">
        <v>33</v>
      </c>
      <c r="H42" t="s">
        <v>106</v>
      </c>
      <c r="I42">
        <v>50000</v>
      </c>
      <c r="J42" s="8">
        <v>-0.06</v>
      </c>
      <c r="K42">
        <v>30</v>
      </c>
      <c r="M42">
        <f t="shared" si="0"/>
        <v>0</v>
      </c>
      <c r="N42" t="s">
        <v>65</v>
      </c>
      <c r="O42" t="s">
        <v>35</v>
      </c>
      <c r="P42">
        <v>50000</v>
      </c>
      <c r="R42" s="9">
        <v>-0.06</v>
      </c>
      <c r="S42">
        <v>30</v>
      </c>
      <c r="T42" s="11">
        <f t="shared" si="1"/>
        <v>0</v>
      </c>
      <c r="U42" s="11">
        <f t="shared" si="2"/>
        <v>0</v>
      </c>
      <c r="V42" s="11">
        <f t="shared" si="3"/>
        <v>0</v>
      </c>
    </row>
    <row r="43" spans="1:22" x14ac:dyDescent="0.35">
      <c r="A43" s="2">
        <v>45449</v>
      </c>
      <c r="B43" t="s">
        <v>42</v>
      </c>
      <c r="D43" s="5" t="s">
        <v>104</v>
      </c>
      <c r="F43" t="s">
        <v>72</v>
      </c>
      <c r="H43" t="s">
        <v>107</v>
      </c>
      <c r="I43">
        <v>22000</v>
      </c>
      <c r="J43" s="8">
        <v>-0.08</v>
      </c>
      <c r="K43">
        <v>30</v>
      </c>
      <c r="M43">
        <f t="shared" si="0"/>
        <v>0</v>
      </c>
      <c r="N43" t="s">
        <v>52</v>
      </c>
      <c r="O43" t="s">
        <v>74</v>
      </c>
      <c r="P43">
        <v>22000</v>
      </c>
      <c r="R43" s="9">
        <v>-0.06</v>
      </c>
      <c r="S43">
        <v>30</v>
      </c>
      <c r="T43" s="11">
        <f t="shared" si="1"/>
        <v>0</v>
      </c>
      <c r="U43" s="11">
        <f t="shared" si="2"/>
        <v>0</v>
      </c>
      <c r="V43" s="11">
        <f t="shared" si="3"/>
        <v>0</v>
      </c>
    </row>
    <row r="44" spans="1:22" x14ac:dyDescent="0.35">
      <c r="A44" s="2">
        <v>45457</v>
      </c>
      <c r="B44" t="s">
        <v>42</v>
      </c>
      <c r="D44" s="5" t="s">
        <v>101</v>
      </c>
      <c r="F44" t="s">
        <v>32</v>
      </c>
      <c r="G44" t="s">
        <v>33</v>
      </c>
      <c r="H44" t="s">
        <v>108</v>
      </c>
      <c r="I44">
        <v>50000</v>
      </c>
      <c r="J44" s="8">
        <v>-0.06</v>
      </c>
      <c r="K44">
        <v>30</v>
      </c>
      <c r="M44">
        <f t="shared" si="0"/>
        <v>0</v>
      </c>
      <c r="N44" t="s">
        <v>27</v>
      </c>
      <c r="O44" t="s">
        <v>35</v>
      </c>
      <c r="P44">
        <v>50000</v>
      </c>
      <c r="R44" s="9">
        <v>-0.06</v>
      </c>
      <c r="S44">
        <v>30</v>
      </c>
      <c r="T44" s="11">
        <f t="shared" si="1"/>
        <v>0</v>
      </c>
      <c r="U44" s="11">
        <f t="shared" si="2"/>
        <v>0</v>
      </c>
      <c r="V44" s="11">
        <f t="shared" si="3"/>
        <v>0</v>
      </c>
    </row>
    <row r="45" spans="1:22" x14ac:dyDescent="0.35">
      <c r="A45" s="2">
        <v>45460</v>
      </c>
      <c r="B45" t="s">
        <v>42</v>
      </c>
      <c r="D45" s="5" t="s">
        <v>109</v>
      </c>
      <c r="F45" t="s">
        <v>32</v>
      </c>
      <c r="G45" t="s">
        <v>33</v>
      </c>
      <c r="H45" t="s">
        <v>110</v>
      </c>
      <c r="I45">
        <v>50000</v>
      </c>
      <c r="J45" s="8">
        <v>-0.06</v>
      </c>
      <c r="K45">
        <v>30</v>
      </c>
      <c r="M45">
        <f t="shared" si="0"/>
        <v>0</v>
      </c>
      <c r="N45" t="s">
        <v>47</v>
      </c>
      <c r="O45" t="s">
        <v>35</v>
      </c>
      <c r="P45">
        <v>50000</v>
      </c>
      <c r="R45" s="9">
        <v>-0.06</v>
      </c>
      <c r="S45">
        <v>30</v>
      </c>
      <c r="T45" s="11">
        <f t="shared" si="1"/>
        <v>0</v>
      </c>
      <c r="U45" s="11">
        <f t="shared" si="2"/>
        <v>0</v>
      </c>
      <c r="V45" s="11">
        <f t="shared" si="3"/>
        <v>0</v>
      </c>
    </row>
    <row r="46" spans="1:22" x14ac:dyDescent="0.35">
      <c r="A46" s="2">
        <v>45461</v>
      </c>
      <c r="B46" t="s">
        <v>42</v>
      </c>
      <c r="D46" s="5" t="s">
        <v>111</v>
      </c>
      <c r="F46" t="s">
        <v>56</v>
      </c>
      <c r="G46" t="s">
        <v>33</v>
      </c>
      <c r="H46" t="s">
        <v>112</v>
      </c>
      <c r="I46">
        <v>52500</v>
      </c>
      <c r="J46" s="8">
        <v>-0.06</v>
      </c>
      <c r="K46">
        <v>30</v>
      </c>
      <c r="M46">
        <f t="shared" si="0"/>
        <v>0</v>
      </c>
      <c r="N46" t="s">
        <v>28</v>
      </c>
      <c r="O46" t="s">
        <v>53</v>
      </c>
      <c r="P46">
        <v>56000</v>
      </c>
      <c r="R46" s="9">
        <v>0</v>
      </c>
      <c r="S46">
        <v>120</v>
      </c>
      <c r="T46" s="11">
        <f t="shared" si="1"/>
        <v>0</v>
      </c>
      <c r="U46" s="11">
        <f t="shared" si="2"/>
        <v>0</v>
      </c>
      <c r="V46" s="11">
        <f t="shared" si="3"/>
        <v>0</v>
      </c>
    </row>
    <row r="47" spans="1:22" x14ac:dyDescent="0.35">
      <c r="A47" s="2">
        <v>45461</v>
      </c>
      <c r="B47" t="s">
        <v>42</v>
      </c>
      <c r="D47" s="5" t="s">
        <v>113</v>
      </c>
      <c r="F47" t="s">
        <v>56</v>
      </c>
      <c r="G47" t="s">
        <v>33</v>
      </c>
      <c r="H47" t="s">
        <v>112</v>
      </c>
      <c r="I47">
        <v>46000</v>
      </c>
      <c r="J47" s="8">
        <v>-0.06</v>
      </c>
      <c r="K47">
        <v>30</v>
      </c>
      <c r="M47">
        <f t="shared" si="0"/>
        <v>0</v>
      </c>
      <c r="N47" t="s">
        <v>28</v>
      </c>
      <c r="O47" t="s">
        <v>53</v>
      </c>
      <c r="P47">
        <v>46000</v>
      </c>
      <c r="R47" s="9">
        <v>0</v>
      </c>
      <c r="S47">
        <v>120</v>
      </c>
      <c r="T47" s="11">
        <f t="shared" si="1"/>
        <v>0</v>
      </c>
      <c r="U47" s="11">
        <f t="shared" si="2"/>
        <v>0</v>
      </c>
      <c r="V47" s="11">
        <f t="shared" si="3"/>
        <v>0</v>
      </c>
    </row>
    <row r="48" spans="1:22" x14ac:dyDescent="0.35">
      <c r="A48" s="2">
        <v>45461</v>
      </c>
      <c r="B48" t="s">
        <v>42</v>
      </c>
      <c r="D48" s="5" t="s">
        <v>114</v>
      </c>
      <c r="F48" t="s">
        <v>56</v>
      </c>
      <c r="G48" t="s">
        <v>33</v>
      </c>
      <c r="H48" t="s">
        <v>115</v>
      </c>
      <c r="I48">
        <v>39500</v>
      </c>
      <c r="J48" s="8">
        <v>-0.06</v>
      </c>
      <c r="K48">
        <v>30</v>
      </c>
      <c r="M48">
        <f t="shared" si="0"/>
        <v>0</v>
      </c>
      <c r="N48" t="s">
        <v>116</v>
      </c>
      <c r="O48" t="s">
        <v>53</v>
      </c>
      <c r="P48">
        <v>41000</v>
      </c>
      <c r="R48" s="9">
        <v>0</v>
      </c>
      <c r="S48">
        <v>120</v>
      </c>
      <c r="T48" s="11">
        <f t="shared" si="1"/>
        <v>0</v>
      </c>
      <c r="U48" s="11">
        <f t="shared" si="2"/>
        <v>0</v>
      </c>
      <c r="V48" s="11">
        <f t="shared" si="3"/>
        <v>0</v>
      </c>
    </row>
    <row r="49" spans="1:22" x14ac:dyDescent="0.35">
      <c r="A49" s="2">
        <v>45462</v>
      </c>
      <c r="B49" t="s">
        <v>67</v>
      </c>
      <c r="C49" s="5" t="s">
        <v>117</v>
      </c>
      <c r="F49" t="s">
        <v>32</v>
      </c>
      <c r="G49" t="s">
        <v>26</v>
      </c>
      <c r="H49" t="s">
        <v>118</v>
      </c>
      <c r="I49">
        <v>160000</v>
      </c>
      <c r="J49" s="8">
        <v>-0.06</v>
      </c>
      <c r="K49">
        <v>30</v>
      </c>
      <c r="M49">
        <f t="shared" si="0"/>
        <v>0</v>
      </c>
      <c r="O49" t="s">
        <v>35</v>
      </c>
      <c r="P49">
        <v>160000</v>
      </c>
      <c r="R49" s="9">
        <v>-0.06</v>
      </c>
      <c r="S49">
        <v>30</v>
      </c>
      <c r="T49" s="11">
        <f t="shared" si="1"/>
        <v>0</v>
      </c>
      <c r="U49" s="11">
        <f t="shared" si="2"/>
        <v>0</v>
      </c>
      <c r="V49" s="11">
        <f t="shared" si="3"/>
        <v>0</v>
      </c>
    </row>
    <row r="50" spans="1:22" x14ac:dyDescent="0.35">
      <c r="A50" s="2">
        <v>45462</v>
      </c>
      <c r="B50" t="s">
        <v>67</v>
      </c>
      <c r="C50" s="5" t="s">
        <v>119</v>
      </c>
      <c r="F50" t="s">
        <v>32</v>
      </c>
      <c r="G50" t="s">
        <v>26</v>
      </c>
      <c r="H50" t="s">
        <v>69</v>
      </c>
      <c r="I50">
        <v>155000</v>
      </c>
      <c r="J50" s="8">
        <v>-0.06</v>
      </c>
      <c r="K50">
        <v>30</v>
      </c>
      <c r="M50">
        <f t="shared" si="0"/>
        <v>0</v>
      </c>
      <c r="N50" t="s">
        <v>28</v>
      </c>
      <c r="O50" t="s">
        <v>35</v>
      </c>
      <c r="P50">
        <v>155000</v>
      </c>
      <c r="R50" s="9">
        <v>0</v>
      </c>
      <c r="S50">
        <v>30</v>
      </c>
      <c r="T50" s="11">
        <f t="shared" si="1"/>
        <v>0</v>
      </c>
      <c r="U50" s="11">
        <f t="shared" si="2"/>
        <v>0</v>
      </c>
      <c r="V50" s="11">
        <f t="shared" si="3"/>
        <v>0</v>
      </c>
    </row>
    <row r="51" spans="1:22" x14ac:dyDescent="0.35">
      <c r="A51" s="2">
        <v>45464</v>
      </c>
      <c r="B51" t="s">
        <v>67</v>
      </c>
      <c r="C51" s="5" t="s">
        <v>117</v>
      </c>
      <c r="F51" t="s">
        <v>32</v>
      </c>
      <c r="G51" t="s">
        <v>26</v>
      </c>
      <c r="H51" t="s">
        <v>118</v>
      </c>
      <c r="K51">
        <v>30</v>
      </c>
      <c r="M51">
        <f t="shared" si="0"/>
        <v>0</v>
      </c>
      <c r="O51" t="s">
        <v>35</v>
      </c>
      <c r="R51" s="9"/>
      <c r="S51">
        <v>30</v>
      </c>
      <c r="T51" s="11">
        <f t="shared" si="1"/>
        <v>0</v>
      </c>
      <c r="U51" s="11">
        <f t="shared" si="2"/>
        <v>0</v>
      </c>
      <c r="V51" s="11">
        <f t="shared" si="3"/>
        <v>0</v>
      </c>
    </row>
    <row r="52" spans="1:22" x14ac:dyDescent="0.35">
      <c r="A52" s="2">
        <v>45465</v>
      </c>
      <c r="B52" t="s">
        <v>37</v>
      </c>
      <c r="C52" s="5" t="s">
        <v>120</v>
      </c>
      <c r="F52" t="s">
        <v>32</v>
      </c>
      <c r="G52" t="s">
        <v>50</v>
      </c>
      <c r="H52" t="s">
        <v>121</v>
      </c>
      <c r="I52">
        <v>30000</v>
      </c>
      <c r="J52" s="8">
        <v>-0.06</v>
      </c>
      <c r="K52">
        <v>30</v>
      </c>
      <c r="M52">
        <f t="shared" si="0"/>
        <v>0</v>
      </c>
      <c r="N52" t="s">
        <v>52</v>
      </c>
      <c r="O52" t="s">
        <v>35</v>
      </c>
      <c r="P52">
        <v>30000</v>
      </c>
      <c r="R52" s="9">
        <v>-0.06</v>
      </c>
      <c r="S52">
        <v>30</v>
      </c>
      <c r="T52" s="11">
        <f t="shared" si="1"/>
        <v>0</v>
      </c>
      <c r="U52" s="11">
        <f t="shared" si="2"/>
        <v>0</v>
      </c>
      <c r="V52" s="11">
        <f t="shared" si="3"/>
        <v>0</v>
      </c>
    </row>
    <row r="53" spans="1:22" x14ac:dyDescent="0.35">
      <c r="A53" s="2">
        <v>45467</v>
      </c>
      <c r="B53" t="s">
        <v>42</v>
      </c>
      <c r="C53" s="5" t="s">
        <v>122</v>
      </c>
      <c r="D53" s="5" t="s">
        <v>111</v>
      </c>
      <c r="F53" t="s">
        <v>56</v>
      </c>
      <c r="G53" t="s">
        <v>33</v>
      </c>
      <c r="H53" t="s">
        <v>112</v>
      </c>
      <c r="I53">
        <v>52500</v>
      </c>
      <c r="J53" s="8">
        <v>-0.06</v>
      </c>
      <c r="K53">
        <v>30</v>
      </c>
      <c r="M53">
        <f t="shared" si="0"/>
        <v>0</v>
      </c>
      <c r="N53" t="s">
        <v>28</v>
      </c>
      <c r="O53" t="s">
        <v>53</v>
      </c>
      <c r="P53">
        <v>56000</v>
      </c>
      <c r="R53" s="9">
        <v>0</v>
      </c>
      <c r="S53">
        <v>120</v>
      </c>
      <c r="T53" s="11">
        <f t="shared" si="1"/>
        <v>0</v>
      </c>
      <c r="U53" s="11">
        <f t="shared" si="2"/>
        <v>0</v>
      </c>
      <c r="V53" s="11">
        <f t="shared" si="3"/>
        <v>0</v>
      </c>
    </row>
    <row r="54" spans="1:22" x14ac:dyDescent="0.35">
      <c r="A54" s="2">
        <v>45484</v>
      </c>
      <c r="B54" t="s">
        <v>37</v>
      </c>
      <c r="C54" s="5" t="s">
        <v>120</v>
      </c>
      <c r="F54" t="s">
        <v>32</v>
      </c>
      <c r="G54" t="s">
        <v>50</v>
      </c>
      <c r="H54" t="s">
        <v>121</v>
      </c>
      <c r="I54">
        <v>29750</v>
      </c>
      <c r="J54" s="8">
        <v>-0.06</v>
      </c>
      <c r="K54">
        <v>30</v>
      </c>
      <c r="M54">
        <f t="shared" si="0"/>
        <v>0</v>
      </c>
      <c r="N54" t="s">
        <v>52</v>
      </c>
      <c r="O54" t="s">
        <v>35</v>
      </c>
      <c r="P54">
        <v>29750</v>
      </c>
      <c r="R54" s="9">
        <v>-0.06</v>
      </c>
      <c r="S54">
        <v>30</v>
      </c>
      <c r="T54" s="11">
        <f t="shared" si="1"/>
        <v>0</v>
      </c>
      <c r="U54" s="11">
        <f t="shared" si="2"/>
        <v>0</v>
      </c>
      <c r="V54" s="11">
        <f t="shared" si="3"/>
        <v>0</v>
      </c>
    </row>
    <row r="55" spans="1:22" x14ac:dyDescent="0.35">
      <c r="A55" s="2">
        <v>45491</v>
      </c>
      <c r="B55" t="s">
        <v>42</v>
      </c>
      <c r="D55" s="5" t="s">
        <v>123</v>
      </c>
      <c r="F55" t="s">
        <v>56</v>
      </c>
      <c r="G55" t="s">
        <v>33</v>
      </c>
      <c r="H55" t="s">
        <v>124</v>
      </c>
      <c r="I55">
        <v>42000</v>
      </c>
      <c r="J55" s="8">
        <v>-0.06</v>
      </c>
      <c r="K55">
        <v>30</v>
      </c>
      <c r="M55">
        <f t="shared" si="0"/>
        <v>0</v>
      </c>
      <c r="N55" t="s">
        <v>125</v>
      </c>
      <c r="O55" t="s">
        <v>35</v>
      </c>
      <c r="P55">
        <v>42000</v>
      </c>
      <c r="R55" s="9">
        <v>-0.06</v>
      </c>
      <c r="S55">
        <v>30</v>
      </c>
      <c r="T55" s="11">
        <f t="shared" si="1"/>
        <v>0</v>
      </c>
      <c r="U55" s="11">
        <f t="shared" si="2"/>
        <v>0</v>
      </c>
      <c r="V55" s="11">
        <f t="shared" si="3"/>
        <v>0</v>
      </c>
    </row>
    <row r="56" spans="1:22" x14ac:dyDescent="0.35">
      <c r="A56" s="2">
        <v>45493</v>
      </c>
      <c r="B56" t="s">
        <v>42</v>
      </c>
      <c r="D56" s="5" t="s">
        <v>101</v>
      </c>
      <c r="F56" t="s">
        <v>32</v>
      </c>
      <c r="G56" t="s">
        <v>33</v>
      </c>
      <c r="H56" t="s">
        <v>126</v>
      </c>
      <c r="I56">
        <v>33500</v>
      </c>
      <c r="J56" s="8">
        <v>-0.04</v>
      </c>
      <c r="K56">
        <v>30</v>
      </c>
      <c r="M56">
        <f t="shared" si="0"/>
        <v>0</v>
      </c>
      <c r="N56" t="s">
        <v>79</v>
      </c>
      <c r="O56" t="s">
        <v>80</v>
      </c>
      <c r="P56">
        <v>34500</v>
      </c>
      <c r="R56" s="9">
        <v>-0.06</v>
      </c>
      <c r="S56">
        <v>30</v>
      </c>
      <c r="T56" s="11">
        <f t="shared" si="1"/>
        <v>0</v>
      </c>
      <c r="U56" s="11">
        <f t="shared" si="2"/>
        <v>0</v>
      </c>
      <c r="V56" s="11">
        <f t="shared" si="3"/>
        <v>0</v>
      </c>
    </row>
    <row r="57" spans="1:22" x14ac:dyDescent="0.35">
      <c r="A57" s="2">
        <v>45498</v>
      </c>
      <c r="B57" t="s">
        <v>42</v>
      </c>
      <c r="D57" s="5" t="s">
        <v>127</v>
      </c>
      <c r="F57" t="s">
        <v>32</v>
      </c>
      <c r="G57" t="s">
        <v>33</v>
      </c>
      <c r="H57" t="s">
        <v>128</v>
      </c>
      <c r="I57">
        <v>31600</v>
      </c>
      <c r="J57" s="8">
        <v>-0.06</v>
      </c>
      <c r="K57">
        <v>30</v>
      </c>
      <c r="M57">
        <f t="shared" si="0"/>
        <v>0</v>
      </c>
      <c r="N57" t="s">
        <v>27</v>
      </c>
      <c r="O57" t="s">
        <v>35</v>
      </c>
      <c r="P57">
        <v>31600</v>
      </c>
      <c r="R57" s="9">
        <v>-0.06</v>
      </c>
      <c r="S57">
        <v>30</v>
      </c>
      <c r="T57" s="11">
        <f t="shared" si="1"/>
        <v>0</v>
      </c>
      <c r="U57" s="11">
        <f t="shared" si="2"/>
        <v>0</v>
      </c>
      <c r="V57" s="11">
        <f t="shared" si="3"/>
        <v>0</v>
      </c>
    </row>
    <row r="58" spans="1:22" x14ac:dyDescent="0.35">
      <c r="A58" s="2">
        <v>45499</v>
      </c>
      <c r="B58" t="s">
        <v>42</v>
      </c>
      <c r="D58" s="5" t="s">
        <v>104</v>
      </c>
      <c r="F58" t="s">
        <v>32</v>
      </c>
      <c r="G58" t="s">
        <v>33</v>
      </c>
      <c r="H58" t="s">
        <v>110</v>
      </c>
      <c r="I58">
        <v>31625</v>
      </c>
      <c r="J58" s="8">
        <v>-0.06</v>
      </c>
      <c r="K58">
        <v>30</v>
      </c>
      <c r="M58">
        <f t="shared" si="0"/>
        <v>0</v>
      </c>
      <c r="N58" t="s">
        <v>47</v>
      </c>
      <c r="O58" t="s">
        <v>35</v>
      </c>
      <c r="P58">
        <v>31625</v>
      </c>
      <c r="R58" s="9">
        <v>-0.06</v>
      </c>
      <c r="S58">
        <v>30</v>
      </c>
      <c r="T58" s="11">
        <f t="shared" si="1"/>
        <v>0</v>
      </c>
      <c r="U58" s="11">
        <f t="shared" si="2"/>
        <v>0</v>
      </c>
      <c r="V58" s="11">
        <f t="shared" si="3"/>
        <v>0</v>
      </c>
    </row>
    <row r="59" spans="1:22" x14ac:dyDescent="0.35">
      <c r="A59" s="3">
        <v>45499</v>
      </c>
      <c r="B59" t="s">
        <v>42</v>
      </c>
      <c r="D59" s="5" t="s">
        <v>129</v>
      </c>
      <c r="F59" t="s">
        <v>32</v>
      </c>
      <c r="G59" t="s">
        <v>33</v>
      </c>
      <c r="H59" t="s">
        <v>108</v>
      </c>
      <c r="I59">
        <v>32000</v>
      </c>
      <c r="J59" s="8">
        <v>-0.06</v>
      </c>
      <c r="K59">
        <v>30</v>
      </c>
      <c r="M59">
        <f t="shared" si="0"/>
        <v>0</v>
      </c>
      <c r="N59" t="s">
        <v>27</v>
      </c>
      <c r="O59" t="s">
        <v>35</v>
      </c>
      <c r="P59">
        <v>32000</v>
      </c>
      <c r="R59" s="9">
        <v>-0.06</v>
      </c>
      <c r="S59">
        <v>30</v>
      </c>
      <c r="T59" s="11">
        <f t="shared" si="1"/>
        <v>0</v>
      </c>
      <c r="U59" s="11">
        <f t="shared" si="2"/>
        <v>0</v>
      </c>
      <c r="V59" s="11">
        <f t="shared" si="3"/>
        <v>0</v>
      </c>
    </row>
    <row r="60" spans="1:22" x14ac:dyDescent="0.35">
      <c r="A60" s="2">
        <v>45510</v>
      </c>
      <c r="B60" t="s">
        <v>42</v>
      </c>
      <c r="D60" s="5" t="s">
        <v>130</v>
      </c>
      <c r="F60" t="s">
        <v>32</v>
      </c>
      <c r="G60" t="s">
        <v>33</v>
      </c>
      <c r="H60" t="s">
        <v>131</v>
      </c>
      <c r="I60">
        <v>35500</v>
      </c>
      <c r="J60" s="8">
        <v>-0.06</v>
      </c>
      <c r="K60">
        <v>30</v>
      </c>
      <c r="M60">
        <f t="shared" si="0"/>
        <v>0</v>
      </c>
      <c r="N60" t="s">
        <v>28</v>
      </c>
      <c r="O60" t="s">
        <v>35</v>
      </c>
      <c r="P60">
        <v>35500</v>
      </c>
      <c r="R60" s="9">
        <v>-0.06</v>
      </c>
      <c r="S60">
        <v>30</v>
      </c>
      <c r="T60" s="11">
        <f t="shared" si="1"/>
        <v>0</v>
      </c>
      <c r="U60" s="11">
        <f t="shared" si="2"/>
        <v>0</v>
      </c>
      <c r="V60" s="11">
        <f t="shared" si="3"/>
        <v>0</v>
      </c>
    </row>
    <row r="61" spans="1:22" x14ac:dyDescent="0.35">
      <c r="A61" s="2">
        <v>45512</v>
      </c>
      <c r="B61" t="s">
        <v>42</v>
      </c>
      <c r="D61" s="5" t="s">
        <v>114</v>
      </c>
      <c r="F61" t="s">
        <v>56</v>
      </c>
      <c r="G61" t="s">
        <v>33</v>
      </c>
      <c r="H61" t="s">
        <v>112</v>
      </c>
      <c r="I61">
        <v>38500</v>
      </c>
      <c r="J61" s="8">
        <v>-0.06</v>
      </c>
      <c r="K61">
        <v>30</v>
      </c>
      <c r="M61">
        <f t="shared" si="0"/>
        <v>0</v>
      </c>
      <c r="N61" t="s">
        <v>28</v>
      </c>
      <c r="O61" t="s">
        <v>53</v>
      </c>
      <c r="P61">
        <v>42000</v>
      </c>
      <c r="R61" s="9">
        <v>0</v>
      </c>
      <c r="S61">
        <v>120</v>
      </c>
      <c r="T61" s="11">
        <f t="shared" si="1"/>
        <v>0</v>
      </c>
      <c r="U61" s="11">
        <f t="shared" si="2"/>
        <v>0</v>
      </c>
      <c r="V61" s="11">
        <f t="shared" si="3"/>
        <v>0</v>
      </c>
    </row>
    <row r="62" spans="1:22" x14ac:dyDescent="0.35">
      <c r="A62" s="2">
        <v>45513</v>
      </c>
      <c r="B62" t="s">
        <v>42</v>
      </c>
      <c r="D62" s="5" t="s">
        <v>132</v>
      </c>
      <c r="F62" t="s">
        <v>32</v>
      </c>
      <c r="G62" t="s">
        <v>33</v>
      </c>
      <c r="H62" t="s">
        <v>110</v>
      </c>
      <c r="I62">
        <v>31500</v>
      </c>
      <c r="J62" s="8">
        <v>-0.06</v>
      </c>
      <c r="K62">
        <v>30</v>
      </c>
      <c r="M62">
        <f t="shared" si="0"/>
        <v>0</v>
      </c>
      <c r="N62" t="s">
        <v>47</v>
      </c>
      <c r="O62" t="s">
        <v>35</v>
      </c>
      <c r="P62">
        <v>31500</v>
      </c>
      <c r="R62" s="9">
        <v>-0.06</v>
      </c>
      <c r="S62">
        <v>30</v>
      </c>
      <c r="T62" s="11">
        <f t="shared" si="1"/>
        <v>0</v>
      </c>
      <c r="U62" s="11">
        <f t="shared" si="2"/>
        <v>0</v>
      </c>
      <c r="V62" s="11">
        <f t="shared" si="3"/>
        <v>0</v>
      </c>
    </row>
    <row r="63" spans="1:22" x14ac:dyDescent="0.35">
      <c r="A63" s="2">
        <v>45525</v>
      </c>
      <c r="B63" t="s">
        <v>42</v>
      </c>
      <c r="D63" s="5" t="s">
        <v>133</v>
      </c>
      <c r="F63" t="s">
        <v>56</v>
      </c>
      <c r="G63" t="s">
        <v>33</v>
      </c>
      <c r="H63" t="s">
        <v>112</v>
      </c>
      <c r="I63">
        <v>44500</v>
      </c>
      <c r="J63" s="8">
        <v>-0.06</v>
      </c>
      <c r="K63">
        <v>30</v>
      </c>
      <c r="M63">
        <f t="shared" si="0"/>
        <v>0</v>
      </c>
      <c r="N63" t="s">
        <v>28</v>
      </c>
      <c r="O63" t="s">
        <v>53</v>
      </c>
      <c r="P63">
        <v>44500</v>
      </c>
      <c r="R63" s="9">
        <v>0</v>
      </c>
      <c r="S63">
        <v>120</v>
      </c>
      <c r="T63" s="11">
        <f t="shared" si="1"/>
        <v>0</v>
      </c>
      <c r="U63" s="11">
        <f t="shared" si="2"/>
        <v>0</v>
      </c>
      <c r="V63" s="11">
        <f t="shared" si="3"/>
        <v>0</v>
      </c>
    </row>
    <row r="64" spans="1:22" x14ac:dyDescent="0.35">
      <c r="A64" s="2">
        <v>45532</v>
      </c>
      <c r="B64" t="s">
        <v>42</v>
      </c>
      <c r="D64" s="5" t="s">
        <v>104</v>
      </c>
      <c r="F64" t="s">
        <v>32</v>
      </c>
      <c r="G64" t="s">
        <v>33</v>
      </c>
      <c r="H64" t="s">
        <v>61</v>
      </c>
      <c r="I64">
        <v>31600</v>
      </c>
      <c r="J64" s="8">
        <v>-0.06</v>
      </c>
      <c r="K64">
        <v>30</v>
      </c>
      <c r="M64">
        <f t="shared" si="0"/>
        <v>0</v>
      </c>
      <c r="N64" t="s">
        <v>62</v>
      </c>
      <c r="O64" t="s">
        <v>35</v>
      </c>
      <c r="P64">
        <v>31600</v>
      </c>
      <c r="R64" s="9">
        <v>-0.06</v>
      </c>
      <c r="S64">
        <v>30</v>
      </c>
      <c r="T64" s="11">
        <f t="shared" si="1"/>
        <v>0</v>
      </c>
      <c r="U64" s="11">
        <f t="shared" si="2"/>
        <v>0</v>
      </c>
      <c r="V64" s="11">
        <f t="shared" si="3"/>
        <v>0</v>
      </c>
    </row>
    <row r="65" spans="1:22" x14ac:dyDescent="0.35">
      <c r="A65" s="2">
        <v>45534</v>
      </c>
      <c r="B65" t="s">
        <v>30</v>
      </c>
      <c r="C65" s="5" t="s">
        <v>134</v>
      </c>
      <c r="F65" t="s">
        <v>32</v>
      </c>
      <c r="G65" t="s">
        <v>33</v>
      </c>
      <c r="H65" t="s">
        <v>34</v>
      </c>
      <c r="I65">
        <v>59500</v>
      </c>
      <c r="J65" s="8">
        <v>-0.06</v>
      </c>
      <c r="K65">
        <v>30</v>
      </c>
      <c r="M65">
        <f t="shared" si="0"/>
        <v>0</v>
      </c>
      <c r="N65" t="s">
        <v>28</v>
      </c>
      <c r="O65" t="s">
        <v>35</v>
      </c>
      <c r="P65">
        <v>59500</v>
      </c>
      <c r="R65" s="9">
        <v>-0.06</v>
      </c>
      <c r="S65">
        <v>30</v>
      </c>
      <c r="T65" s="11">
        <f t="shared" si="1"/>
        <v>0</v>
      </c>
      <c r="U65" s="11">
        <f t="shared" si="2"/>
        <v>0</v>
      </c>
      <c r="V65" s="11">
        <f t="shared" si="3"/>
        <v>0</v>
      </c>
    </row>
    <row r="66" spans="1:22" x14ac:dyDescent="0.35">
      <c r="A66" s="2">
        <v>45549</v>
      </c>
      <c r="B66" t="s">
        <v>42</v>
      </c>
      <c r="D66" s="5" t="s">
        <v>104</v>
      </c>
      <c r="F66" t="s">
        <v>72</v>
      </c>
      <c r="G66" t="s">
        <v>50</v>
      </c>
      <c r="H66" t="s">
        <v>107</v>
      </c>
      <c r="I66">
        <v>17001</v>
      </c>
      <c r="J66" s="8">
        <v>-0.08</v>
      </c>
      <c r="K66">
        <v>30</v>
      </c>
      <c r="M66">
        <f t="shared" ref="M66:M129" si="4">((I66*J66)+I66)*L66</f>
        <v>0</v>
      </c>
      <c r="N66" t="s">
        <v>52</v>
      </c>
      <c r="O66" t="s">
        <v>53</v>
      </c>
      <c r="P66">
        <v>17100</v>
      </c>
      <c r="S66">
        <v>150</v>
      </c>
      <c r="T66" s="11">
        <f t="shared" ref="T66:T129" si="5">((P66*R66)+P66)*L66</f>
        <v>0</v>
      </c>
      <c r="U66" s="11">
        <f t="shared" ref="U66:U129" si="6">T66-M66</f>
        <v>0</v>
      </c>
      <c r="V66" s="11">
        <f t="shared" ref="V66:V129" si="7">T66+Q66</f>
        <v>0</v>
      </c>
    </row>
    <row r="67" spans="1:22" x14ac:dyDescent="0.35">
      <c r="A67" s="2">
        <v>45553</v>
      </c>
      <c r="B67" t="s">
        <v>37</v>
      </c>
      <c r="C67" s="5" t="s">
        <v>105</v>
      </c>
      <c r="E67" s="5" t="s">
        <v>36</v>
      </c>
      <c r="F67" t="s">
        <v>32</v>
      </c>
      <c r="G67" t="s">
        <v>33</v>
      </c>
      <c r="H67" t="s">
        <v>135</v>
      </c>
      <c r="I67">
        <v>47500</v>
      </c>
      <c r="J67" s="8">
        <v>-0.06</v>
      </c>
      <c r="K67">
        <v>30</v>
      </c>
      <c r="M67">
        <f t="shared" si="4"/>
        <v>0</v>
      </c>
      <c r="N67" t="s">
        <v>52</v>
      </c>
      <c r="O67" t="s">
        <v>35</v>
      </c>
      <c r="P67">
        <v>47500</v>
      </c>
      <c r="R67" s="9">
        <v>-0.06</v>
      </c>
      <c r="S67">
        <v>30</v>
      </c>
      <c r="T67" s="11">
        <f t="shared" si="5"/>
        <v>0</v>
      </c>
      <c r="U67" s="11">
        <f t="shared" si="6"/>
        <v>0</v>
      </c>
      <c r="V67" s="11">
        <f t="shared" si="7"/>
        <v>0</v>
      </c>
    </row>
    <row r="68" spans="1:22" x14ac:dyDescent="0.35">
      <c r="A68" s="2">
        <v>45553</v>
      </c>
      <c r="B68" t="s">
        <v>37</v>
      </c>
      <c r="C68" s="5" t="s">
        <v>105</v>
      </c>
      <c r="E68" s="5" t="s">
        <v>36</v>
      </c>
      <c r="F68" t="s">
        <v>32</v>
      </c>
      <c r="G68" t="s">
        <v>33</v>
      </c>
      <c r="H68" t="s">
        <v>136</v>
      </c>
      <c r="I68">
        <v>47500</v>
      </c>
      <c r="J68" s="8">
        <v>-0.06</v>
      </c>
      <c r="K68">
        <v>30</v>
      </c>
      <c r="M68">
        <f t="shared" si="4"/>
        <v>0</v>
      </c>
      <c r="N68" t="s">
        <v>28</v>
      </c>
      <c r="O68" t="s">
        <v>35</v>
      </c>
      <c r="P68">
        <v>47500</v>
      </c>
      <c r="R68" s="9">
        <v>-0.06</v>
      </c>
      <c r="S68">
        <v>30</v>
      </c>
      <c r="T68" s="11">
        <f t="shared" si="5"/>
        <v>0</v>
      </c>
      <c r="U68" s="11">
        <f t="shared" si="6"/>
        <v>0</v>
      </c>
      <c r="V68" s="11">
        <f t="shared" si="7"/>
        <v>0</v>
      </c>
    </row>
    <row r="69" spans="1:22" x14ac:dyDescent="0.35">
      <c r="A69" s="2">
        <v>45553</v>
      </c>
      <c r="B69" t="s">
        <v>42</v>
      </c>
      <c r="D69" s="5" t="s">
        <v>104</v>
      </c>
      <c r="F69" t="s">
        <v>32</v>
      </c>
      <c r="G69" t="s">
        <v>33</v>
      </c>
      <c r="H69" t="s">
        <v>137</v>
      </c>
      <c r="I69">
        <v>32000</v>
      </c>
      <c r="J69" s="8">
        <v>-0.06</v>
      </c>
      <c r="K69">
        <v>30</v>
      </c>
      <c r="M69">
        <f t="shared" si="4"/>
        <v>0</v>
      </c>
      <c r="N69" t="s">
        <v>79</v>
      </c>
      <c r="O69" t="s">
        <v>35</v>
      </c>
      <c r="P69">
        <v>32000</v>
      </c>
      <c r="R69" s="9">
        <v>-0.06</v>
      </c>
      <c r="S69">
        <v>30</v>
      </c>
      <c r="T69" s="11">
        <f t="shared" si="5"/>
        <v>0</v>
      </c>
      <c r="U69" s="11">
        <f t="shared" si="6"/>
        <v>0</v>
      </c>
      <c r="V69" s="11">
        <f t="shared" si="7"/>
        <v>0</v>
      </c>
    </row>
    <row r="70" spans="1:22" x14ac:dyDescent="0.35">
      <c r="A70" s="2">
        <v>45553</v>
      </c>
      <c r="B70" t="s">
        <v>42</v>
      </c>
      <c r="D70" s="5" t="s">
        <v>104</v>
      </c>
      <c r="F70" t="s">
        <v>32</v>
      </c>
      <c r="G70" t="s">
        <v>33</v>
      </c>
      <c r="H70" t="s">
        <v>138</v>
      </c>
      <c r="I70">
        <v>31500</v>
      </c>
      <c r="J70" s="8">
        <v>-0.06</v>
      </c>
      <c r="K70">
        <v>30</v>
      </c>
      <c r="M70">
        <f t="shared" si="4"/>
        <v>0</v>
      </c>
      <c r="N70" t="s">
        <v>47</v>
      </c>
      <c r="O70" t="s">
        <v>35</v>
      </c>
      <c r="P70">
        <v>31500</v>
      </c>
      <c r="R70" s="9">
        <v>-0.06</v>
      </c>
      <c r="S70">
        <v>30</v>
      </c>
      <c r="T70" s="11">
        <f t="shared" si="5"/>
        <v>0</v>
      </c>
      <c r="U70" s="11">
        <f t="shared" si="6"/>
        <v>0</v>
      </c>
      <c r="V70" s="11">
        <f t="shared" si="7"/>
        <v>0</v>
      </c>
    </row>
    <row r="71" spans="1:22" x14ac:dyDescent="0.35">
      <c r="A71" s="2">
        <v>45561</v>
      </c>
      <c r="B71" t="s">
        <v>42</v>
      </c>
      <c r="D71" s="5" t="s">
        <v>104</v>
      </c>
      <c r="F71" t="s">
        <v>72</v>
      </c>
      <c r="G71" t="s">
        <v>60</v>
      </c>
      <c r="H71" t="s">
        <v>139</v>
      </c>
      <c r="I71">
        <v>14150</v>
      </c>
      <c r="J71" s="8">
        <v>-0.08</v>
      </c>
      <c r="K71">
        <v>30</v>
      </c>
      <c r="M71">
        <f t="shared" si="4"/>
        <v>0</v>
      </c>
      <c r="O71" t="s">
        <v>53</v>
      </c>
      <c r="P71">
        <v>14300</v>
      </c>
      <c r="R71" s="9">
        <v>0</v>
      </c>
      <c r="S71">
        <v>150</v>
      </c>
      <c r="T71" s="11">
        <f t="shared" si="5"/>
        <v>0</v>
      </c>
      <c r="U71" s="11">
        <f t="shared" si="6"/>
        <v>0</v>
      </c>
      <c r="V71" s="11">
        <f t="shared" si="7"/>
        <v>0</v>
      </c>
    </row>
    <row r="72" spans="1:22" x14ac:dyDescent="0.35">
      <c r="A72" s="2">
        <v>45562</v>
      </c>
      <c r="B72" t="s">
        <v>42</v>
      </c>
      <c r="D72" s="5" t="s">
        <v>132</v>
      </c>
      <c r="F72" t="s">
        <v>32</v>
      </c>
      <c r="G72" t="s">
        <v>50</v>
      </c>
      <c r="H72" t="s">
        <v>140</v>
      </c>
      <c r="I72">
        <v>26300</v>
      </c>
      <c r="J72" s="8">
        <v>-0.06</v>
      </c>
      <c r="K72">
        <v>30</v>
      </c>
      <c r="M72">
        <f t="shared" si="4"/>
        <v>0</v>
      </c>
      <c r="N72" t="s">
        <v>27</v>
      </c>
      <c r="O72" t="s">
        <v>35</v>
      </c>
      <c r="P72">
        <v>26300</v>
      </c>
      <c r="R72" s="9">
        <v>-0.06</v>
      </c>
      <c r="S72">
        <v>30</v>
      </c>
      <c r="T72" s="11">
        <f t="shared" si="5"/>
        <v>0</v>
      </c>
      <c r="U72" s="11">
        <f t="shared" si="6"/>
        <v>0</v>
      </c>
      <c r="V72" s="11">
        <f t="shared" si="7"/>
        <v>0</v>
      </c>
    </row>
    <row r="73" spans="1:22" x14ac:dyDescent="0.35">
      <c r="A73" s="2">
        <v>45572</v>
      </c>
      <c r="B73" t="s">
        <v>42</v>
      </c>
      <c r="D73" s="5" t="s">
        <v>141</v>
      </c>
      <c r="F73" t="s">
        <v>142</v>
      </c>
      <c r="G73" t="s">
        <v>50</v>
      </c>
      <c r="H73" t="s">
        <v>115</v>
      </c>
      <c r="I73">
        <v>16900</v>
      </c>
      <c r="J73" s="8">
        <v>-0.06</v>
      </c>
      <c r="K73">
        <v>30</v>
      </c>
      <c r="M73">
        <f t="shared" si="4"/>
        <v>0</v>
      </c>
      <c r="N73" t="s">
        <v>27</v>
      </c>
      <c r="O73" t="s">
        <v>35</v>
      </c>
      <c r="P73">
        <v>16900</v>
      </c>
      <c r="R73" s="9">
        <v>-0.06</v>
      </c>
      <c r="S73">
        <v>30</v>
      </c>
      <c r="T73" s="11">
        <f t="shared" si="5"/>
        <v>0</v>
      </c>
      <c r="U73" s="11">
        <f t="shared" si="6"/>
        <v>0</v>
      </c>
      <c r="V73" s="11">
        <f t="shared" si="7"/>
        <v>0</v>
      </c>
    </row>
    <row r="74" spans="1:22" x14ac:dyDescent="0.35">
      <c r="A74" s="2">
        <v>45577</v>
      </c>
      <c r="B74" t="s">
        <v>42</v>
      </c>
      <c r="D74" s="5" t="s">
        <v>130</v>
      </c>
      <c r="F74" t="s">
        <v>32</v>
      </c>
      <c r="G74" t="s">
        <v>50</v>
      </c>
      <c r="H74" t="s">
        <v>108</v>
      </c>
      <c r="I74">
        <v>27500</v>
      </c>
      <c r="J74" s="8">
        <v>-0.06</v>
      </c>
      <c r="K74">
        <v>30</v>
      </c>
      <c r="M74">
        <f t="shared" si="4"/>
        <v>0</v>
      </c>
      <c r="N74" t="s">
        <v>79</v>
      </c>
      <c r="O74" t="s">
        <v>35</v>
      </c>
      <c r="P74">
        <v>27500</v>
      </c>
      <c r="R74" s="9">
        <v>-0.06</v>
      </c>
      <c r="S74">
        <v>30</v>
      </c>
      <c r="T74" s="11">
        <f t="shared" si="5"/>
        <v>0</v>
      </c>
      <c r="U74" s="11">
        <f t="shared" si="6"/>
        <v>0</v>
      </c>
      <c r="V74" s="11">
        <f t="shared" si="7"/>
        <v>0</v>
      </c>
    </row>
    <row r="75" spans="1:22" x14ac:dyDescent="0.35">
      <c r="A75" s="2">
        <v>45604</v>
      </c>
      <c r="B75" t="s">
        <v>42</v>
      </c>
      <c r="D75" s="5" t="s">
        <v>104</v>
      </c>
      <c r="F75" t="s">
        <v>72</v>
      </c>
      <c r="G75" t="s">
        <v>60</v>
      </c>
      <c r="H75" t="s">
        <v>107</v>
      </c>
      <c r="I75">
        <v>14400</v>
      </c>
      <c r="J75" s="8">
        <v>-0.08</v>
      </c>
      <c r="K75">
        <v>30</v>
      </c>
      <c r="M75">
        <f t="shared" si="4"/>
        <v>0</v>
      </c>
      <c r="N75" t="s">
        <v>52</v>
      </c>
      <c r="O75" t="s">
        <v>53</v>
      </c>
      <c r="P75">
        <v>14400</v>
      </c>
      <c r="R75" s="9">
        <v>0</v>
      </c>
      <c r="S75">
        <v>150</v>
      </c>
      <c r="T75" s="11">
        <f t="shared" si="5"/>
        <v>0</v>
      </c>
      <c r="U75" s="11">
        <f t="shared" si="6"/>
        <v>0</v>
      </c>
      <c r="V75" s="11">
        <f t="shared" si="7"/>
        <v>0</v>
      </c>
    </row>
    <row r="76" spans="1:22" x14ac:dyDescent="0.35">
      <c r="A76" s="2">
        <v>45610</v>
      </c>
      <c r="B76" t="s">
        <v>42</v>
      </c>
      <c r="D76" s="5" t="s">
        <v>101</v>
      </c>
      <c r="F76" t="s">
        <v>32</v>
      </c>
      <c r="G76" t="s">
        <v>44</v>
      </c>
      <c r="H76" t="s">
        <v>137</v>
      </c>
      <c r="I76">
        <v>39000</v>
      </c>
      <c r="J76" s="8">
        <v>-0.06</v>
      </c>
      <c r="K76">
        <v>30</v>
      </c>
      <c r="M76">
        <f t="shared" si="4"/>
        <v>0</v>
      </c>
      <c r="N76" t="s">
        <v>79</v>
      </c>
      <c r="O76" t="s">
        <v>143</v>
      </c>
      <c r="P76">
        <v>39500</v>
      </c>
      <c r="R76" s="9">
        <v>0</v>
      </c>
      <c r="S76">
        <v>10</v>
      </c>
      <c r="T76" s="11">
        <f t="shared" si="5"/>
        <v>0</v>
      </c>
      <c r="U76" s="11">
        <f t="shared" si="6"/>
        <v>0</v>
      </c>
      <c r="V76" s="11">
        <f t="shared" si="7"/>
        <v>0</v>
      </c>
    </row>
    <row r="77" spans="1:22" x14ac:dyDescent="0.35">
      <c r="A77" s="2">
        <v>45610</v>
      </c>
      <c r="B77" t="s">
        <v>42</v>
      </c>
      <c r="D77" s="5" t="s">
        <v>144</v>
      </c>
      <c r="F77" t="s">
        <v>32</v>
      </c>
      <c r="G77" t="s">
        <v>44</v>
      </c>
      <c r="H77" t="s">
        <v>78</v>
      </c>
      <c r="I77">
        <v>39500</v>
      </c>
      <c r="J77" s="8">
        <v>-0.06</v>
      </c>
      <c r="K77">
        <v>30</v>
      </c>
      <c r="M77">
        <f t="shared" si="4"/>
        <v>0</v>
      </c>
      <c r="N77" t="s">
        <v>79</v>
      </c>
      <c r="O77" t="s">
        <v>143</v>
      </c>
      <c r="P77">
        <v>39000</v>
      </c>
      <c r="R77" s="9">
        <v>0</v>
      </c>
      <c r="S77">
        <v>10</v>
      </c>
      <c r="T77" s="11">
        <f t="shared" si="5"/>
        <v>0</v>
      </c>
      <c r="U77" s="11">
        <f t="shared" si="6"/>
        <v>0</v>
      </c>
      <c r="V77" s="11">
        <f t="shared" si="7"/>
        <v>0</v>
      </c>
    </row>
    <row r="78" spans="1:22" x14ac:dyDescent="0.35">
      <c r="A78" s="2">
        <v>45617</v>
      </c>
      <c r="B78" t="s">
        <v>145</v>
      </c>
      <c r="C78" s="5" t="s">
        <v>146</v>
      </c>
      <c r="F78" t="s">
        <v>56</v>
      </c>
      <c r="G78" t="s">
        <v>33</v>
      </c>
      <c r="H78" t="s">
        <v>147</v>
      </c>
      <c r="I78">
        <v>56000</v>
      </c>
      <c r="J78" s="8">
        <v>-0.06</v>
      </c>
      <c r="K78">
        <v>30</v>
      </c>
      <c r="M78">
        <f t="shared" si="4"/>
        <v>0</v>
      </c>
      <c r="N78" t="s">
        <v>28</v>
      </c>
      <c r="O78" t="s">
        <v>53</v>
      </c>
      <c r="P78">
        <v>56500</v>
      </c>
      <c r="R78" s="9">
        <v>0</v>
      </c>
      <c r="S78">
        <v>120</v>
      </c>
      <c r="T78" s="11">
        <f t="shared" si="5"/>
        <v>0</v>
      </c>
      <c r="U78" s="11">
        <f t="shared" si="6"/>
        <v>0</v>
      </c>
      <c r="V78" s="11">
        <f t="shared" si="7"/>
        <v>0</v>
      </c>
    </row>
    <row r="79" spans="1:22" x14ac:dyDescent="0.35">
      <c r="A79" s="2">
        <v>45621</v>
      </c>
      <c r="B79" t="s">
        <v>145</v>
      </c>
      <c r="C79" s="5" t="s">
        <v>148</v>
      </c>
      <c r="F79" t="s">
        <v>56</v>
      </c>
      <c r="G79" t="s">
        <v>33</v>
      </c>
      <c r="H79" t="s">
        <v>28</v>
      </c>
      <c r="I79">
        <v>56000</v>
      </c>
      <c r="J79" s="8">
        <v>-0.06</v>
      </c>
      <c r="K79">
        <v>30</v>
      </c>
      <c r="M79">
        <f t="shared" si="4"/>
        <v>0</v>
      </c>
      <c r="N79" t="s">
        <v>28</v>
      </c>
      <c r="O79" t="s">
        <v>53</v>
      </c>
      <c r="P79">
        <v>56000</v>
      </c>
      <c r="R79" s="9">
        <v>0</v>
      </c>
      <c r="S79">
        <v>120</v>
      </c>
      <c r="T79" s="11">
        <f t="shared" si="5"/>
        <v>0</v>
      </c>
      <c r="U79" s="11">
        <f t="shared" si="6"/>
        <v>0</v>
      </c>
      <c r="V79" s="11">
        <f t="shared" si="7"/>
        <v>0</v>
      </c>
    </row>
    <row r="80" spans="1:22" x14ac:dyDescent="0.35">
      <c r="A80" s="2">
        <v>45624</v>
      </c>
      <c r="B80" t="s">
        <v>42</v>
      </c>
      <c r="E80" s="5" t="s">
        <v>149</v>
      </c>
      <c r="F80" t="s">
        <v>56</v>
      </c>
      <c r="G80" t="s">
        <v>33</v>
      </c>
      <c r="H80" t="s">
        <v>150</v>
      </c>
      <c r="I80">
        <v>53000</v>
      </c>
      <c r="J80" s="8">
        <v>-0.04</v>
      </c>
      <c r="K80">
        <v>30</v>
      </c>
      <c r="M80">
        <f t="shared" si="4"/>
        <v>0</v>
      </c>
      <c r="N80" t="s">
        <v>52</v>
      </c>
      <c r="O80" t="s">
        <v>53</v>
      </c>
      <c r="P80">
        <v>61000</v>
      </c>
      <c r="R80" s="9">
        <v>0</v>
      </c>
      <c r="S80">
        <v>120</v>
      </c>
      <c r="T80" s="11">
        <f t="shared" si="5"/>
        <v>0</v>
      </c>
      <c r="U80" s="11">
        <f t="shared" si="6"/>
        <v>0</v>
      </c>
      <c r="V80" s="11">
        <f t="shared" si="7"/>
        <v>0</v>
      </c>
    </row>
    <row r="81" spans="1:22" x14ac:dyDescent="0.35">
      <c r="A81" s="2">
        <v>45624</v>
      </c>
      <c r="B81" t="s">
        <v>42</v>
      </c>
      <c r="D81" s="5" t="s">
        <v>151</v>
      </c>
      <c r="F81" t="s">
        <v>32</v>
      </c>
      <c r="G81" t="s">
        <v>33</v>
      </c>
      <c r="H81" t="s">
        <v>61</v>
      </c>
      <c r="I81">
        <v>31000</v>
      </c>
      <c r="J81" s="8">
        <v>-0.06</v>
      </c>
      <c r="K81">
        <v>30</v>
      </c>
      <c r="M81">
        <f t="shared" si="4"/>
        <v>0</v>
      </c>
      <c r="N81" t="s">
        <v>62</v>
      </c>
      <c r="O81" t="s">
        <v>35</v>
      </c>
      <c r="P81">
        <v>31000</v>
      </c>
      <c r="R81" s="9">
        <v>-0.06</v>
      </c>
      <c r="S81">
        <v>30</v>
      </c>
      <c r="T81" s="11">
        <f t="shared" si="5"/>
        <v>0</v>
      </c>
      <c r="U81" s="11">
        <f t="shared" si="6"/>
        <v>0</v>
      </c>
      <c r="V81" s="11">
        <f t="shared" si="7"/>
        <v>0</v>
      </c>
    </row>
    <row r="82" spans="1:22" x14ac:dyDescent="0.35">
      <c r="A82" s="2">
        <v>45625</v>
      </c>
      <c r="B82" t="s">
        <v>145</v>
      </c>
      <c r="F82" t="s">
        <v>152</v>
      </c>
      <c r="G82" t="s">
        <v>33</v>
      </c>
      <c r="H82" t="s">
        <v>153</v>
      </c>
      <c r="I82">
        <v>55500</v>
      </c>
      <c r="J82" s="8">
        <v>-0.06</v>
      </c>
      <c r="K82">
        <v>30</v>
      </c>
      <c r="M82">
        <f t="shared" si="4"/>
        <v>0</v>
      </c>
      <c r="N82" t="s">
        <v>28</v>
      </c>
      <c r="O82" t="s">
        <v>53</v>
      </c>
      <c r="P82">
        <v>55900</v>
      </c>
      <c r="R82" s="9">
        <v>0</v>
      </c>
      <c r="S82">
        <v>120</v>
      </c>
      <c r="T82" s="11">
        <f t="shared" si="5"/>
        <v>0</v>
      </c>
      <c r="U82" s="11">
        <f t="shared" si="6"/>
        <v>0</v>
      </c>
      <c r="V82" s="11">
        <f t="shared" si="7"/>
        <v>0</v>
      </c>
    </row>
    <row r="83" spans="1:22" x14ac:dyDescent="0.35">
      <c r="A83" s="2">
        <v>45628</v>
      </c>
      <c r="B83" t="s">
        <v>42</v>
      </c>
      <c r="D83" s="5" t="s">
        <v>113</v>
      </c>
      <c r="F83" t="s">
        <v>56</v>
      </c>
      <c r="G83" t="s">
        <v>33</v>
      </c>
      <c r="H83" t="s">
        <v>112</v>
      </c>
      <c r="I83">
        <v>45000</v>
      </c>
      <c r="J83" s="8">
        <v>-0.06</v>
      </c>
      <c r="K83">
        <v>30</v>
      </c>
      <c r="M83">
        <f t="shared" si="4"/>
        <v>0</v>
      </c>
      <c r="N83" t="s">
        <v>28</v>
      </c>
      <c r="O83" t="s">
        <v>53</v>
      </c>
      <c r="P83">
        <v>44500</v>
      </c>
      <c r="R83" s="9">
        <v>0</v>
      </c>
      <c r="S83">
        <v>120</v>
      </c>
      <c r="T83" s="11">
        <f t="shared" si="5"/>
        <v>0</v>
      </c>
      <c r="U83" s="11">
        <f t="shared" si="6"/>
        <v>0</v>
      </c>
      <c r="V83" s="11">
        <f t="shared" si="7"/>
        <v>0</v>
      </c>
    </row>
    <row r="84" spans="1:22" x14ac:dyDescent="0.35">
      <c r="A84" s="2">
        <v>45631</v>
      </c>
      <c r="B84" t="s">
        <v>42</v>
      </c>
      <c r="D84" s="5" t="s">
        <v>127</v>
      </c>
      <c r="F84" t="s">
        <v>56</v>
      </c>
      <c r="G84" t="s">
        <v>33</v>
      </c>
      <c r="H84" t="s">
        <v>154</v>
      </c>
      <c r="I84">
        <v>34500</v>
      </c>
      <c r="J84" s="8">
        <v>-0.06</v>
      </c>
      <c r="K84">
        <v>30</v>
      </c>
      <c r="M84">
        <f t="shared" si="4"/>
        <v>0</v>
      </c>
      <c r="N84" t="s">
        <v>155</v>
      </c>
      <c r="O84" t="s">
        <v>35</v>
      </c>
      <c r="P84">
        <v>34500</v>
      </c>
      <c r="R84" s="9">
        <v>-0.06</v>
      </c>
      <c r="S84">
        <v>30</v>
      </c>
      <c r="T84" s="11">
        <f t="shared" si="5"/>
        <v>0</v>
      </c>
      <c r="U84" s="11">
        <f t="shared" si="6"/>
        <v>0</v>
      </c>
      <c r="V84" s="11">
        <f t="shared" si="7"/>
        <v>0</v>
      </c>
    </row>
    <row r="85" spans="1:22" x14ac:dyDescent="0.35">
      <c r="A85" s="2">
        <v>45633</v>
      </c>
      <c r="B85" t="s">
        <v>42</v>
      </c>
      <c r="D85" s="5" t="s">
        <v>104</v>
      </c>
      <c r="F85" t="s">
        <v>32</v>
      </c>
      <c r="G85" t="s">
        <v>33</v>
      </c>
      <c r="H85" t="s">
        <v>156</v>
      </c>
      <c r="I85">
        <v>32700</v>
      </c>
      <c r="J85" s="8">
        <v>-0.06</v>
      </c>
      <c r="K85">
        <v>30</v>
      </c>
      <c r="M85">
        <f t="shared" si="4"/>
        <v>0</v>
      </c>
      <c r="N85" t="s">
        <v>27</v>
      </c>
      <c r="O85" t="s">
        <v>35</v>
      </c>
      <c r="P85">
        <v>32700</v>
      </c>
      <c r="R85" s="9">
        <v>-0.06</v>
      </c>
      <c r="S85">
        <v>30</v>
      </c>
      <c r="T85" s="11">
        <f t="shared" si="5"/>
        <v>0</v>
      </c>
      <c r="U85" s="11">
        <f t="shared" si="6"/>
        <v>0</v>
      </c>
      <c r="V85" s="11">
        <f t="shared" si="7"/>
        <v>0</v>
      </c>
    </row>
    <row r="86" spans="1:22" x14ac:dyDescent="0.35">
      <c r="A86" s="2">
        <v>45636</v>
      </c>
      <c r="B86" t="s">
        <v>42</v>
      </c>
      <c r="D86" s="5" t="s">
        <v>157</v>
      </c>
      <c r="F86" t="s">
        <v>56</v>
      </c>
      <c r="G86" t="s">
        <v>33</v>
      </c>
      <c r="H86" t="s">
        <v>158</v>
      </c>
      <c r="I86">
        <v>39000</v>
      </c>
      <c r="J86" s="8">
        <v>-0.06</v>
      </c>
      <c r="K86">
        <v>30</v>
      </c>
      <c r="M86">
        <f t="shared" si="4"/>
        <v>0</v>
      </c>
      <c r="O86" t="s">
        <v>35</v>
      </c>
      <c r="P86">
        <v>39000</v>
      </c>
      <c r="R86" s="9">
        <v>-0.06</v>
      </c>
      <c r="S86">
        <v>30</v>
      </c>
      <c r="T86" s="11">
        <f t="shared" si="5"/>
        <v>0</v>
      </c>
      <c r="U86" s="11">
        <f t="shared" si="6"/>
        <v>0</v>
      </c>
      <c r="V86" s="11">
        <f t="shared" si="7"/>
        <v>0</v>
      </c>
    </row>
    <row r="87" spans="1:22" x14ac:dyDescent="0.35">
      <c r="A87" s="2">
        <v>45636</v>
      </c>
      <c r="B87" t="s">
        <v>42</v>
      </c>
      <c r="D87" s="5" t="s">
        <v>159</v>
      </c>
      <c r="F87" t="s">
        <v>56</v>
      </c>
      <c r="G87" t="s">
        <v>33</v>
      </c>
      <c r="H87" t="s">
        <v>112</v>
      </c>
      <c r="I87">
        <v>44000</v>
      </c>
      <c r="J87" s="8">
        <v>-0.06</v>
      </c>
      <c r="K87">
        <v>30</v>
      </c>
      <c r="M87">
        <f t="shared" si="4"/>
        <v>0</v>
      </c>
      <c r="N87" t="s">
        <v>28</v>
      </c>
      <c r="O87" t="s">
        <v>53</v>
      </c>
      <c r="P87">
        <v>44000</v>
      </c>
      <c r="R87" s="9">
        <v>0</v>
      </c>
      <c r="S87">
        <v>120</v>
      </c>
      <c r="T87" s="11">
        <f t="shared" si="5"/>
        <v>0</v>
      </c>
      <c r="U87" s="11">
        <f t="shared" si="6"/>
        <v>0</v>
      </c>
      <c r="V87" s="11">
        <f t="shared" si="7"/>
        <v>0</v>
      </c>
    </row>
    <row r="88" spans="1:22" x14ac:dyDescent="0.35">
      <c r="A88" s="2">
        <v>45642</v>
      </c>
      <c r="B88" t="s">
        <v>42</v>
      </c>
      <c r="D88" s="5" t="s">
        <v>101</v>
      </c>
      <c r="F88" t="s">
        <v>56</v>
      </c>
      <c r="G88" t="s">
        <v>33</v>
      </c>
      <c r="H88" t="s">
        <v>160</v>
      </c>
      <c r="I88">
        <v>33250</v>
      </c>
      <c r="J88" s="8">
        <v>-0.06</v>
      </c>
      <c r="K88">
        <v>30</v>
      </c>
      <c r="M88">
        <f t="shared" si="4"/>
        <v>0</v>
      </c>
      <c r="N88" t="s">
        <v>62</v>
      </c>
      <c r="O88" t="s">
        <v>53</v>
      </c>
      <c r="P88">
        <v>33900</v>
      </c>
      <c r="R88" s="9">
        <v>0</v>
      </c>
      <c r="S88">
        <v>120</v>
      </c>
      <c r="T88" s="11">
        <f t="shared" si="5"/>
        <v>0</v>
      </c>
      <c r="U88" s="11">
        <f t="shared" si="6"/>
        <v>0</v>
      </c>
      <c r="V88" s="11">
        <f t="shared" si="7"/>
        <v>0</v>
      </c>
    </row>
    <row r="89" spans="1:22" x14ac:dyDescent="0.35">
      <c r="A89" s="2">
        <v>45644</v>
      </c>
      <c r="B89" t="s">
        <v>145</v>
      </c>
      <c r="C89" s="5" t="s">
        <v>146</v>
      </c>
      <c r="F89" t="s">
        <v>32</v>
      </c>
      <c r="G89" t="s">
        <v>33</v>
      </c>
      <c r="H89" t="s">
        <v>161</v>
      </c>
      <c r="I89">
        <v>59000</v>
      </c>
      <c r="J89" s="8">
        <v>-0.06</v>
      </c>
      <c r="K89">
        <v>30</v>
      </c>
      <c r="M89">
        <f t="shared" si="4"/>
        <v>0</v>
      </c>
      <c r="N89" t="s">
        <v>28</v>
      </c>
      <c r="O89" t="s">
        <v>35</v>
      </c>
      <c r="P89">
        <v>59000</v>
      </c>
      <c r="R89" s="9">
        <v>-0.06</v>
      </c>
      <c r="S89">
        <v>30</v>
      </c>
      <c r="T89" s="11">
        <f t="shared" si="5"/>
        <v>0</v>
      </c>
      <c r="U89" s="11">
        <f t="shared" si="6"/>
        <v>0</v>
      </c>
      <c r="V89" s="11">
        <f t="shared" si="7"/>
        <v>0</v>
      </c>
    </row>
    <row r="90" spans="1:22" x14ac:dyDescent="0.35">
      <c r="A90" s="2">
        <v>45658</v>
      </c>
      <c r="B90" t="s">
        <v>145</v>
      </c>
      <c r="C90" s="5" t="s">
        <v>162</v>
      </c>
      <c r="F90" t="s">
        <v>56</v>
      </c>
      <c r="G90" t="s">
        <v>33</v>
      </c>
      <c r="H90" t="s">
        <v>147</v>
      </c>
      <c r="I90">
        <v>35000</v>
      </c>
      <c r="J90" s="8">
        <v>-0.06</v>
      </c>
      <c r="K90">
        <v>30</v>
      </c>
      <c r="M90">
        <f t="shared" si="4"/>
        <v>0</v>
      </c>
      <c r="N90" t="s">
        <v>28</v>
      </c>
      <c r="O90" t="s">
        <v>53</v>
      </c>
      <c r="P90">
        <v>36500</v>
      </c>
      <c r="R90" s="9">
        <v>-0.06</v>
      </c>
      <c r="S90">
        <v>30</v>
      </c>
      <c r="T90" s="11">
        <f t="shared" si="5"/>
        <v>0</v>
      </c>
      <c r="U90" s="11">
        <f t="shared" si="6"/>
        <v>0</v>
      </c>
      <c r="V90" s="11">
        <f t="shared" si="7"/>
        <v>0</v>
      </c>
    </row>
    <row r="91" spans="1:22" x14ac:dyDescent="0.35">
      <c r="A91" s="2">
        <v>45658</v>
      </c>
      <c r="B91" t="s">
        <v>145</v>
      </c>
      <c r="C91" s="5" t="s">
        <v>163</v>
      </c>
      <c r="F91" t="s">
        <v>56</v>
      </c>
      <c r="G91" t="s">
        <v>33</v>
      </c>
      <c r="H91" t="s">
        <v>147</v>
      </c>
      <c r="I91">
        <v>44000</v>
      </c>
      <c r="J91" s="8">
        <v>-0.06</v>
      </c>
      <c r="K91">
        <v>30</v>
      </c>
      <c r="M91">
        <f t="shared" si="4"/>
        <v>0</v>
      </c>
      <c r="N91" t="s">
        <v>28</v>
      </c>
      <c r="O91" t="s">
        <v>53</v>
      </c>
      <c r="P91">
        <v>45000</v>
      </c>
      <c r="R91" s="9">
        <v>-0.06</v>
      </c>
      <c r="S91">
        <v>30</v>
      </c>
      <c r="T91" s="11">
        <f t="shared" si="5"/>
        <v>0</v>
      </c>
      <c r="U91" s="11">
        <f t="shared" si="6"/>
        <v>0</v>
      </c>
      <c r="V91" s="11">
        <f t="shared" si="7"/>
        <v>0</v>
      </c>
    </row>
    <row r="92" spans="1:22" x14ac:dyDescent="0.35">
      <c r="A92" s="2">
        <v>45658</v>
      </c>
      <c r="B92" t="s">
        <v>145</v>
      </c>
      <c r="C92" s="5" t="s">
        <v>146</v>
      </c>
      <c r="F92" t="s">
        <v>56</v>
      </c>
      <c r="G92" t="s">
        <v>33</v>
      </c>
      <c r="H92" t="s">
        <v>147</v>
      </c>
      <c r="I92">
        <v>51000</v>
      </c>
      <c r="J92" s="8">
        <v>-0.06</v>
      </c>
      <c r="K92">
        <v>30</v>
      </c>
      <c r="M92">
        <f t="shared" si="4"/>
        <v>0</v>
      </c>
      <c r="N92" t="s">
        <v>28</v>
      </c>
      <c r="O92" t="s">
        <v>53</v>
      </c>
      <c r="P92">
        <v>52500</v>
      </c>
      <c r="R92" s="9">
        <v>-0.06</v>
      </c>
      <c r="S92">
        <v>30</v>
      </c>
      <c r="T92" s="11">
        <f t="shared" si="5"/>
        <v>0</v>
      </c>
      <c r="U92" s="11">
        <f t="shared" si="6"/>
        <v>0</v>
      </c>
      <c r="V92" s="11">
        <f t="shared" si="7"/>
        <v>0</v>
      </c>
    </row>
    <row r="93" spans="1:22" x14ac:dyDescent="0.35">
      <c r="A93" s="2">
        <v>45658</v>
      </c>
      <c r="B93" t="s">
        <v>145</v>
      </c>
      <c r="C93" s="5" t="s">
        <v>164</v>
      </c>
      <c r="F93" t="s">
        <v>56</v>
      </c>
      <c r="G93" t="s">
        <v>33</v>
      </c>
      <c r="H93" t="s">
        <v>165</v>
      </c>
      <c r="I93">
        <v>51000</v>
      </c>
      <c r="J93" s="8">
        <v>-0.06</v>
      </c>
      <c r="K93">
        <v>30</v>
      </c>
      <c r="M93">
        <f t="shared" si="4"/>
        <v>0</v>
      </c>
      <c r="O93" t="s">
        <v>53</v>
      </c>
      <c r="P93">
        <v>52500</v>
      </c>
      <c r="R93" s="9">
        <v>-0.06</v>
      </c>
      <c r="S93">
        <v>30</v>
      </c>
      <c r="T93" s="11">
        <f t="shared" si="5"/>
        <v>0</v>
      </c>
      <c r="U93" s="11">
        <f t="shared" si="6"/>
        <v>0</v>
      </c>
      <c r="V93" s="11">
        <f t="shared" si="7"/>
        <v>0</v>
      </c>
    </row>
    <row r="94" spans="1:22" x14ac:dyDescent="0.35">
      <c r="A94" s="2">
        <v>45658</v>
      </c>
      <c r="B94" t="s">
        <v>145</v>
      </c>
      <c r="C94" s="5" t="s">
        <v>166</v>
      </c>
      <c r="F94" t="s">
        <v>56</v>
      </c>
      <c r="G94" t="s">
        <v>33</v>
      </c>
      <c r="H94" t="s">
        <v>161</v>
      </c>
      <c r="I94">
        <v>51000</v>
      </c>
      <c r="J94" s="8">
        <v>-0.06</v>
      </c>
      <c r="K94">
        <v>30</v>
      </c>
      <c r="M94">
        <f t="shared" si="4"/>
        <v>0</v>
      </c>
      <c r="N94" t="s">
        <v>28</v>
      </c>
      <c r="O94" t="s">
        <v>53</v>
      </c>
      <c r="P94">
        <v>52500</v>
      </c>
      <c r="R94" s="9">
        <v>-0.06</v>
      </c>
      <c r="S94">
        <v>30</v>
      </c>
      <c r="T94" s="11">
        <f t="shared" si="5"/>
        <v>0</v>
      </c>
      <c r="U94" s="11">
        <f t="shared" si="6"/>
        <v>0</v>
      </c>
      <c r="V94" s="11">
        <f t="shared" si="7"/>
        <v>0</v>
      </c>
    </row>
    <row r="95" spans="1:22" x14ac:dyDescent="0.35">
      <c r="A95" s="2">
        <v>45658</v>
      </c>
      <c r="B95" t="s">
        <v>145</v>
      </c>
      <c r="C95" s="5" t="s">
        <v>167</v>
      </c>
      <c r="F95" t="s">
        <v>56</v>
      </c>
      <c r="G95" t="s">
        <v>33</v>
      </c>
      <c r="H95" t="s">
        <v>168</v>
      </c>
      <c r="I95">
        <v>51000</v>
      </c>
      <c r="J95" s="8">
        <v>-0.06</v>
      </c>
      <c r="K95">
        <v>30</v>
      </c>
      <c r="M95">
        <f t="shared" si="4"/>
        <v>0</v>
      </c>
      <c r="O95" t="s">
        <v>53</v>
      </c>
      <c r="P95">
        <v>52500</v>
      </c>
      <c r="R95" s="9">
        <v>-0.06</v>
      </c>
      <c r="S95">
        <v>30</v>
      </c>
      <c r="T95" s="11">
        <f t="shared" si="5"/>
        <v>0</v>
      </c>
      <c r="U95" s="11">
        <f t="shared" si="6"/>
        <v>0</v>
      </c>
      <c r="V95" s="11">
        <f t="shared" si="7"/>
        <v>0</v>
      </c>
    </row>
    <row r="96" spans="1:22" x14ac:dyDescent="0.35">
      <c r="A96" s="2">
        <v>45667</v>
      </c>
      <c r="B96" t="s">
        <v>145</v>
      </c>
      <c r="C96" s="5" t="s">
        <v>169</v>
      </c>
      <c r="F96" t="s">
        <v>32</v>
      </c>
      <c r="G96" t="s">
        <v>33</v>
      </c>
      <c r="H96" t="s">
        <v>161</v>
      </c>
      <c r="I96">
        <v>59500</v>
      </c>
      <c r="J96" s="8">
        <v>-0.06</v>
      </c>
      <c r="K96">
        <v>30</v>
      </c>
      <c r="M96">
        <f t="shared" si="4"/>
        <v>0</v>
      </c>
      <c r="N96" t="s">
        <v>28</v>
      </c>
      <c r="O96" t="s">
        <v>35</v>
      </c>
      <c r="P96">
        <v>59500</v>
      </c>
      <c r="R96" s="9">
        <v>-0.06</v>
      </c>
      <c r="S96">
        <v>30</v>
      </c>
      <c r="T96" s="11">
        <f t="shared" si="5"/>
        <v>0</v>
      </c>
      <c r="U96" s="11">
        <f t="shared" si="6"/>
        <v>0</v>
      </c>
      <c r="V96" s="11">
        <f t="shared" si="7"/>
        <v>0</v>
      </c>
    </row>
    <row r="97" spans="1:22" x14ac:dyDescent="0.35">
      <c r="A97" s="2">
        <v>45667</v>
      </c>
      <c r="B97" t="s">
        <v>42</v>
      </c>
      <c r="D97" s="5" t="s">
        <v>101</v>
      </c>
      <c r="F97" t="s">
        <v>170</v>
      </c>
      <c r="G97" t="s">
        <v>171</v>
      </c>
      <c r="H97" t="s">
        <v>108</v>
      </c>
      <c r="I97">
        <v>16475</v>
      </c>
      <c r="J97" s="8">
        <v>-0.06</v>
      </c>
      <c r="K97">
        <v>30</v>
      </c>
      <c r="M97">
        <f t="shared" si="4"/>
        <v>0</v>
      </c>
      <c r="N97" t="s">
        <v>27</v>
      </c>
      <c r="O97" t="s">
        <v>172</v>
      </c>
      <c r="P97">
        <v>16650</v>
      </c>
      <c r="R97" s="9">
        <v>-0.06</v>
      </c>
      <c r="S97">
        <v>30</v>
      </c>
      <c r="T97" s="11">
        <f t="shared" si="5"/>
        <v>0</v>
      </c>
      <c r="U97" s="11">
        <f t="shared" si="6"/>
        <v>0</v>
      </c>
      <c r="V97" s="11">
        <f t="shared" si="7"/>
        <v>0</v>
      </c>
    </row>
    <row r="98" spans="1:22" x14ac:dyDescent="0.35">
      <c r="A98" s="2">
        <v>45667</v>
      </c>
      <c r="B98" t="s">
        <v>54</v>
      </c>
      <c r="E98" s="5" t="s">
        <v>36</v>
      </c>
      <c r="F98" t="s">
        <v>56</v>
      </c>
      <c r="G98" t="s">
        <v>33</v>
      </c>
      <c r="H98" t="s">
        <v>173</v>
      </c>
      <c r="I98">
        <v>49500</v>
      </c>
      <c r="J98" s="8">
        <v>-0.06</v>
      </c>
      <c r="K98">
        <v>30</v>
      </c>
      <c r="M98">
        <f t="shared" si="4"/>
        <v>0</v>
      </c>
      <c r="N98" t="s">
        <v>28</v>
      </c>
      <c r="O98" t="s">
        <v>53</v>
      </c>
      <c r="P98">
        <v>51000</v>
      </c>
      <c r="R98" s="9">
        <v>0</v>
      </c>
      <c r="S98">
        <v>120</v>
      </c>
      <c r="T98" s="11">
        <f t="shared" si="5"/>
        <v>0</v>
      </c>
      <c r="U98" s="11">
        <f t="shared" si="6"/>
        <v>0</v>
      </c>
      <c r="V98" s="11">
        <f t="shared" si="7"/>
        <v>0</v>
      </c>
    </row>
    <row r="99" spans="1:22" x14ac:dyDescent="0.35">
      <c r="A99" s="2">
        <v>45667</v>
      </c>
      <c r="B99" t="s">
        <v>54</v>
      </c>
      <c r="E99" s="5" t="s">
        <v>174</v>
      </c>
      <c r="F99" t="s">
        <v>56</v>
      </c>
      <c r="G99" t="s">
        <v>33</v>
      </c>
      <c r="H99" t="s">
        <v>173</v>
      </c>
      <c r="I99">
        <v>54000</v>
      </c>
      <c r="J99" s="8">
        <v>-0.06</v>
      </c>
      <c r="K99">
        <v>30</v>
      </c>
      <c r="M99">
        <f t="shared" si="4"/>
        <v>0</v>
      </c>
      <c r="N99" t="s">
        <v>28</v>
      </c>
      <c r="O99" t="s">
        <v>53</v>
      </c>
      <c r="P99">
        <v>56000</v>
      </c>
      <c r="R99" s="9">
        <v>0</v>
      </c>
      <c r="S99">
        <v>120</v>
      </c>
      <c r="T99" s="11">
        <f t="shared" si="5"/>
        <v>0</v>
      </c>
      <c r="U99" s="11">
        <f t="shared" si="6"/>
        <v>0</v>
      </c>
      <c r="V99" s="11">
        <f t="shared" si="7"/>
        <v>0</v>
      </c>
    </row>
    <row r="100" spans="1:22" x14ac:dyDescent="0.35">
      <c r="A100" s="2">
        <v>45667</v>
      </c>
      <c r="B100" t="s">
        <v>145</v>
      </c>
      <c r="C100" s="5" t="s">
        <v>146</v>
      </c>
      <c r="F100" t="s">
        <v>56</v>
      </c>
      <c r="G100" t="s">
        <v>33</v>
      </c>
      <c r="H100" t="s">
        <v>161</v>
      </c>
      <c r="I100">
        <v>51000</v>
      </c>
      <c r="J100" s="8">
        <v>-0.06</v>
      </c>
      <c r="K100">
        <v>30</v>
      </c>
      <c r="M100">
        <f t="shared" si="4"/>
        <v>0</v>
      </c>
      <c r="N100" t="s">
        <v>28</v>
      </c>
      <c r="O100" t="s">
        <v>53</v>
      </c>
      <c r="P100">
        <v>52000</v>
      </c>
      <c r="R100" s="9">
        <v>0</v>
      </c>
      <c r="S100">
        <v>120</v>
      </c>
      <c r="T100" s="11">
        <f t="shared" si="5"/>
        <v>0</v>
      </c>
      <c r="U100" s="11">
        <f t="shared" si="6"/>
        <v>0</v>
      </c>
      <c r="V100" s="11">
        <f t="shared" si="7"/>
        <v>0</v>
      </c>
    </row>
    <row r="101" spans="1:22" x14ac:dyDescent="0.35">
      <c r="A101" s="2">
        <v>45668</v>
      </c>
      <c r="B101" t="s">
        <v>175</v>
      </c>
      <c r="C101" s="5" t="s">
        <v>176</v>
      </c>
      <c r="E101" s="5" t="s">
        <v>177</v>
      </c>
      <c r="F101" t="s">
        <v>178</v>
      </c>
      <c r="G101" t="s">
        <v>179</v>
      </c>
      <c r="H101" t="s">
        <v>180</v>
      </c>
      <c r="I101">
        <v>105000</v>
      </c>
      <c r="J101" s="8">
        <v>-0.06</v>
      </c>
      <c r="K101">
        <v>30</v>
      </c>
      <c r="M101">
        <f t="shared" si="4"/>
        <v>0</v>
      </c>
      <c r="N101" t="s">
        <v>28</v>
      </c>
      <c r="O101" t="s">
        <v>53</v>
      </c>
      <c r="P101">
        <v>108000</v>
      </c>
      <c r="R101" s="9">
        <v>0</v>
      </c>
      <c r="S101">
        <v>120</v>
      </c>
      <c r="T101" s="11">
        <f t="shared" si="5"/>
        <v>0</v>
      </c>
      <c r="U101" s="11">
        <f t="shared" si="6"/>
        <v>0</v>
      </c>
      <c r="V101" s="11">
        <f t="shared" si="7"/>
        <v>0</v>
      </c>
    </row>
    <row r="102" spans="1:22" x14ac:dyDescent="0.35">
      <c r="A102" s="2">
        <v>45668</v>
      </c>
      <c r="B102" t="s">
        <v>175</v>
      </c>
      <c r="C102" s="5" t="s">
        <v>181</v>
      </c>
      <c r="E102" s="5" t="s">
        <v>182</v>
      </c>
      <c r="F102" t="s">
        <v>178</v>
      </c>
      <c r="G102" t="s">
        <v>179</v>
      </c>
      <c r="H102" t="s">
        <v>180</v>
      </c>
      <c r="I102">
        <v>64000</v>
      </c>
      <c r="J102" s="8">
        <v>-0.06</v>
      </c>
      <c r="K102">
        <v>30</v>
      </c>
      <c r="M102">
        <f t="shared" si="4"/>
        <v>0</v>
      </c>
      <c r="N102" t="s">
        <v>28</v>
      </c>
      <c r="O102" t="s">
        <v>53</v>
      </c>
      <c r="P102">
        <v>66000</v>
      </c>
      <c r="R102" s="9">
        <v>0</v>
      </c>
      <c r="S102">
        <v>120</v>
      </c>
      <c r="T102" s="11">
        <f t="shared" si="5"/>
        <v>0</v>
      </c>
      <c r="U102" s="11">
        <f t="shared" si="6"/>
        <v>0</v>
      </c>
      <c r="V102" s="11">
        <f t="shared" si="7"/>
        <v>0</v>
      </c>
    </row>
    <row r="103" spans="1:22" x14ac:dyDescent="0.35">
      <c r="A103" s="2">
        <v>45668</v>
      </c>
      <c r="B103" t="s">
        <v>175</v>
      </c>
      <c r="C103" s="5" t="s">
        <v>181</v>
      </c>
      <c r="E103" s="5" t="s">
        <v>182</v>
      </c>
      <c r="F103" t="s">
        <v>178</v>
      </c>
      <c r="G103" t="s">
        <v>179</v>
      </c>
      <c r="H103" t="s">
        <v>34</v>
      </c>
      <c r="I103">
        <v>60000</v>
      </c>
      <c r="J103" s="8">
        <v>-0.06</v>
      </c>
      <c r="K103">
        <v>30</v>
      </c>
      <c r="M103">
        <f t="shared" si="4"/>
        <v>0</v>
      </c>
      <c r="N103" t="s">
        <v>28</v>
      </c>
      <c r="O103" t="s">
        <v>53</v>
      </c>
      <c r="P103">
        <v>63000</v>
      </c>
      <c r="R103" s="9">
        <v>0</v>
      </c>
      <c r="S103">
        <v>120</v>
      </c>
      <c r="T103" s="11">
        <f t="shared" si="5"/>
        <v>0</v>
      </c>
      <c r="U103" s="11">
        <f t="shared" si="6"/>
        <v>0</v>
      </c>
      <c r="V103" s="11">
        <f t="shared" si="7"/>
        <v>0</v>
      </c>
    </row>
    <row r="104" spans="1:22" x14ac:dyDescent="0.35">
      <c r="A104" s="2">
        <v>45673</v>
      </c>
      <c r="B104" t="s">
        <v>54</v>
      </c>
      <c r="C104" s="5" t="s">
        <v>183</v>
      </c>
      <c r="F104" t="s">
        <v>32</v>
      </c>
      <c r="G104" t="s">
        <v>33</v>
      </c>
      <c r="H104" t="s">
        <v>173</v>
      </c>
      <c r="I104">
        <v>40000</v>
      </c>
      <c r="J104" s="8">
        <v>-0.06</v>
      </c>
      <c r="K104">
        <v>30</v>
      </c>
      <c r="M104">
        <f t="shared" si="4"/>
        <v>0</v>
      </c>
      <c r="N104" t="s">
        <v>28</v>
      </c>
      <c r="O104" t="s">
        <v>35</v>
      </c>
      <c r="P104">
        <v>40000</v>
      </c>
      <c r="R104" s="9">
        <v>-0.06</v>
      </c>
      <c r="S104">
        <v>30</v>
      </c>
      <c r="T104" s="11">
        <f t="shared" si="5"/>
        <v>0</v>
      </c>
      <c r="U104" s="11">
        <f t="shared" si="6"/>
        <v>0</v>
      </c>
      <c r="V104" s="11">
        <f t="shared" si="7"/>
        <v>0</v>
      </c>
    </row>
    <row r="105" spans="1:22" x14ac:dyDescent="0.35">
      <c r="A105" s="2">
        <v>45950</v>
      </c>
      <c r="B105" t="s">
        <v>37</v>
      </c>
      <c r="C105" s="5" t="s">
        <v>120</v>
      </c>
      <c r="F105" t="s">
        <v>32</v>
      </c>
      <c r="G105" t="s">
        <v>50</v>
      </c>
      <c r="H105" t="s">
        <v>121</v>
      </c>
      <c r="I105">
        <v>29000</v>
      </c>
      <c r="J105" s="8">
        <v>-0.06</v>
      </c>
      <c r="K105">
        <v>30</v>
      </c>
      <c r="M105">
        <f t="shared" si="4"/>
        <v>0</v>
      </c>
      <c r="N105" t="s">
        <v>52</v>
      </c>
      <c r="O105" t="s">
        <v>35</v>
      </c>
      <c r="P105">
        <v>29000</v>
      </c>
      <c r="R105" s="9">
        <v>-0.06</v>
      </c>
      <c r="S105">
        <v>30</v>
      </c>
      <c r="T105" s="11">
        <f t="shared" si="5"/>
        <v>0</v>
      </c>
      <c r="U105" s="11">
        <f t="shared" si="6"/>
        <v>0</v>
      </c>
      <c r="V105" s="11">
        <f t="shared" si="7"/>
        <v>0</v>
      </c>
    </row>
    <row r="106" spans="1:22" x14ac:dyDescent="0.35">
      <c r="A106" s="2">
        <v>45679</v>
      </c>
      <c r="B106" t="s">
        <v>42</v>
      </c>
      <c r="E106" s="5" t="s">
        <v>184</v>
      </c>
      <c r="F106" t="s">
        <v>56</v>
      </c>
      <c r="G106" t="s">
        <v>33</v>
      </c>
      <c r="H106" t="s">
        <v>112</v>
      </c>
      <c r="I106">
        <v>67000</v>
      </c>
      <c r="J106" s="8">
        <v>-0.06</v>
      </c>
      <c r="K106">
        <v>30</v>
      </c>
      <c r="M106">
        <f t="shared" si="4"/>
        <v>0</v>
      </c>
      <c r="N106" t="s">
        <v>28</v>
      </c>
      <c r="O106" t="s">
        <v>53</v>
      </c>
      <c r="P106">
        <v>72000</v>
      </c>
      <c r="R106" s="9">
        <v>0</v>
      </c>
      <c r="S106">
        <v>120</v>
      </c>
      <c r="T106" s="11">
        <f t="shared" si="5"/>
        <v>0</v>
      </c>
      <c r="U106" s="11">
        <f t="shared" si="6"/>
        <v>0</v>
      </c>
      <c r="V106" s="11">
        <f t="shared" si="7"/>
        <v>0</v>
      </c>
    </row>
    <row r="107" spans="1:22" x14ac:dyDescent="0.35">
      <c r="A107" s="2">
        <v>45682</v>
      </c>
      <c r="B107" t="s">
        <v>42</v>
      </c>
      <c r="E107" s="5" t="s">
        <v>174</v>
      </c>
      <c r="F107" t="s">
        <v>56</v>
      </c>
      <c r="G107" t="s">
        <v>33</v>
      </c>
      <c r="H107" t="s">
        <v>112</v>
      </c>
      <c r="I107">
        <v>54000</v>
      </c>
      <c r="J107" s="8">
        <v>-0.06</v>
      </c>
      <c r="K107">
        <v>30</v>
      </c>
      <c r="M107">
        <f t="shared" si="4"/>
        <v>0</v>
      </c>
      <c r="N107" t="s">
        <v>28</v>
      </c>
      <c r="O107" t="s">
        <v>53</v>
      </c>
      <c r="P107">
        <v>56000</v>
      </c>
      <c r="R107" s="9">
        <v>0</v>
      </c>
      <c r="S107">
        <v>120</v>
      </c>
      <c r="T107" s="11">
        <f t="shared" si="5"/>
        <v>0</v>
      </c>
      <c r="U107" s="11">
        <f t="shared" si="6"/>
        <v>0</v>
      </c>
      <c r="V107" s="11">
        <f t="shared" si="7"/>
        <v>0</v>
      </c>
    </row>
    <row r="108" spans="1:22" x14ac:dyDescent="0.35">
      <c r="A108" s="2">
        <v>45682</v>
      </c>
      <c r="B108" t="s">
        <v>185</v>
      </c>
      <c r="D108" s="5" t="s">
        <v>186</v>
      </c>
      <c r="F108" t="s">
        <v>187</v>
      </c>
      <c r="G108" t="s">
        <v>179</v>
      </c>
      <c r="H108" t="s">
        <v>70</v>
      </c>
      <c r="I108">
        <v>31500</v>
      </c>
      <c r="J108" s="8">
        <v>-0.04</v>
      </c>
      <c r="K108">
        <v>30</v>
      </c>
      <c r="M108">
        <f t="shared" si="4"/>
        <v>0</v>
      </c>
      <c r="N108" t="s">
        <v>28</v>
      </c>
      <c r="O108" t="s">
        <v>53</v>
      </c>
      <c r="P108">
        <v>33500</v>
      </c>
      <c r="R108" s="9">
        <v>-0.06</v>
      </c>
      <c r="S108">
        <v>30</v>
      </c>
      <c r="T108" s="11">
        <f t="shared" si="5"/>
        <v>0</v>
      </c>
      <c r="U108" s="11">
        <f t="shared" si="6"/>
        <v>0</v>
      </c>
      <c r="V108" s="11">
        <f t="shared" si="7"/>
        <v>0</v>
      </c>
    </row>
    <row r="109" spans="1:22" x14ac:dyDescent="0.35">
      <c r="A109" s="2">
        <v>45687</v>
      </c>
      <c r="B109" t="s">
        <v>145</v>
      </c>
      <c r="C109" s="5" t="s">
        <v>188</v>
      </c>
      <c r="F109" t="s">
        <v>56</v>
      </c>
      <c r="G109" t="s">
        <v>33</v>
      </c>
      <c r="H109" t="s">
        <v>189</v>
      </c>
      <c r="I109">
        <v>51000</v>
      </c>
      <c r="J109" s="8">
        <v>-0.06</v>
      </c>
      <c r="K109">
        <v>30</v>
      </c>
      <c r="M109">
        <f t="shared" si="4"/>
        <v>0</v>
      </c>
      <c r="N109" t="s">
        <v>28</v>
      </c>
      <c r="O109" t="s">
        <v>53</v>
      </c>
      <c r="P109">
        <v>53000</v>
      </c>
      <c r="R109" s="9">
        <v>-0.06</v>
      </c>
      <c r="S109">
        <v>30</v>
      </c>
      <c r="T109" s="11">
        <f t="shared" si="5"/>
        <v>0</v>
      </c>
      <c r="U109" s="11">
        <f t="shared" si="6"/>
        <v>0</v>
      </c>
      <c r="V109" s="11">
        <f t="shared" si="7"/>
        <v>0</v>
      </c>
    </row>
    <row r="110" spans="1:22" x14ac:dyDescent="0.35">
      <c r="A110" s="2">
        <v>45687</v>
      </c>
      <c r="B110" t="s">
        <v>37</v>
      </c>
      <c r="C110" s="5" t="s">
        <v>105</v>
      </c>
      <c r="F110" t="s">
        <v>32</v>
      </c>
      <c r="G110" t="s">
        <v>50</v>
      </c>
      <c r="H110" t="s">
        <v>65</v>
      </c>
      <c r="I110">
        <v>43000</v>
      </c>
      <c r="J110" s="8">
        <v>-0.06</v>
      </c>
      <c r="K110">
        <v>30</v>
      </c>
      <c r="M110">
        <f t="shared" si="4"/>
        <v>0</v>
      </c>
      <c r="N110" t="s">
        <v>65</v>
      </c>
      <c r="O110" t="s">
        <v>35</v>
      </c>
      <c r="P110">
        <v>43000</v>
      </c>
      <c r="R110" s="9">
        <v>-0.06</v>
      </c>
      <c r="S110">
        <v>30</v>
      </c>
      <c r="T110" s="11">
        <f t="shared" si="5"/>
        <v>0</v>
      </c>
      <c r="U110" s="11">
        <f t="shared" si="6"/>
        <v>0</v>
      </c>
      <c r="V110" s="11">
        <f t="shared" si="7"/>
        <v>0</v>
      </c>
    </row>
    <row r="111" spans="1:22" x14ac:dyDescent="0.35">
      <c r="A111" s="2">
        <v>45688</v>
      </c>
      <c r="B111" t="s">
        <v>37</v>
      </c>
      <c r="C111" s="5" t="s">
        <v>105</v>
      </c>
      <c r="F111" t="s">
        <v>32</v>
      </c>
      <c r="G111" t="s">
        <v>50</v>
      </c>
      <c r="H111" t="s">
        <v>135</v>
      </c>
      <c r="I111">
        <v>44000</v>
      </c>
      <c r="J111" s="8">
        <v>-0.06</v>
      </c>
      <c r="K111">
        <v>30</v>
      </c>
      <c r="M111">
        <f t="shared" si="4"/>
        <v>0</v>
      </c>
      <c r="N111" t="s">
        <v>52</v>
      </c>
      <c r="O111" t="s">
        <v>35</v>
      </c>
      <c r="P111">
        <v>44000</v>
      </c>
      <c r="R111" s="9">
        <v>-0.06</v>
      </c>
      <c r="S111">
        <v>30</v>
      </c>
      <c r="T111" s="11">
        <f t="shared" si="5"/>
        <v>0</v>
      </c>
      <c r="U111" s="11">
        <f t="shared" si="6"/>
        <v>0</v>
      </c>
      <c r="V111" s="11">
        <f t="shared" si="7"/>
        <v>0</v>
      </c>
    </row>
    <row r="112" spans="1:22" x14ac:dyDescent="0.35">
      <c r="A112" s="2">
        <v>45691</v>
      </c>
      <c r="B112" t="s">
        <v>145</v>
      </c>
      <c r="C112" s="5" t="s">
        <v>146</v>
      </c>
      <c r="F112" t="s">
        <v>32</v>
      </c>
      <c r="G112" t="s">
        <v>33</v>
      </c>
      <c r="H112" t="s">
        <v>106</v>
      </c>
      <c r="I112">
        <v>59900</v>
      </c>
      <c r="J112" s="8">
        <v>-0.06</v>
      </c>
      <c r="K112">
        <v>30</v>
      </c>
      <c r="M112">
        <f t="shared" si="4"/>
        <v>0</v>
      </c>
      <c r="N112" t="s">
        <v>65</v>
      </c>
      <c r="O112" t="s">
        <v>35</v>
      </c>
      <c r="P112">
        <v>59900</v>
      </c>
      <c r="R112" s="9">
        <v>-0.06</v>
      </c>
      <c r="S112">
        <v>30</v>
      </c>
      <c r="T112" s="11">
        <f t="shared" si="5"/>
        <v>0</v>
      </c>
      <c r="U112" s="11">
        <f t="shared" si="6"/>
        <v>0</v>
      </c>
      <c r="V112" s="11">
        <f t="shared" si="7"/>
        <v>0</v>
      </c>
    </row>
    <row r="113" spans="1:22" x14ac:dyDescent="0.35">
      <c r="A113" s="2">
        <v>45694</v>
      </c>
      <c r="B113" t="s">
        <v>54</v>
      </c>
      <c r="C113" s="5" t="s">
        <v>190</v>
      </c>
      <c r="E113" s="5" t="s">
        <v>184</v>
      </c>
      <c r="F113" t="s">
        <v>56</v>
      </c>
      <c r="G113" t="s">
        <v>33</v>
      </c>
      <c r="H113" t="s">
        <v>173</v>
      </c>
      <c r="I113">
        <v>66000</v>
      </c>
      <c r="J113" s="8">
        <v>-0.06</v>
      </c>
      <c r="K113">
        <v>30</v>
      </c>
      <c r="M113">
        <f t="shared" si="4"/>
        <v>0</v>
      </c>
      <c r="N113" t="s">
        <v>28</v>
      </c>
      <c r="O113" t="s">
        <v>53</v>
      </c>
      <c r="P113">
        <v>68000</v>
      </c>
      <c r="R113" s="9">
        <v>-0.06</v>
      </c>
      <c r="S113">
        <v>30</v>
      </c>
      <c r="T113" s="11">
        <f t="shared" si="5"/>
        <v>0</v>
      </c>
      <c r="U113" s="11">
        <f t="shared" si="6"/>
        <v>0</v>
      </c>
      <c r="V113" s="11">
        <f t="shared" si="7"/>
        <v>0</v>
      </c>
    </row>
    <row r="114" spans="1:22" x14ac:dyDescent="0.35">
      <c r="A114" s="2">
        <v>45695</v>
      </c>
      <c r="B114" t="s">
        <v>54</v>
      </c>
      <c r="C114" s="5" t="s">
        <v>191</v>
      </c>
      <c r="E114" s="5" t="s">
        <v>192</v>
      </c>
      <c r="F114" t="s">
        <v>56</v>
      </c>
      <c r="G114" t="s">
        <v>33</v>
      </c>
      <c r="H114" t="s">
        <v>173</v>
      </c>
      <c r="I114">
        <v>89000</v>
      </c>
      <c r="J114" s="8">
        <v>-0.06</v>
      </c>
      <c r="K114">
        <v>30</v>
      </c>
      <c r="M114">
        <f t="shared" si="4"/>
        <v>0</v>
      </c>
      <c r="N114" t="s">
        <v>28</v>
      </c>
      <c r="O114" t="s">
        <v>53</v>
      </c>
      <c r="P114">
        <v>91000</v>
      </c>
      <c r="R114" s="9">
        <v>-0.06</v>
      </c>
      <c r="S114">
        <v>30</v>
      </c>
      <c r="T114" s="11">
        <f t="shared" si="5"/>
        <v>0</v>
      </c>
      <c r="U114" s="11">
        <f t="shared" si="6"/>
        <v>0</v>
      </c>
      <c r="V114" s="11">
        <f t="shared" si="7"/>
        <v>0</v>
      </c>
    </row>
    <row r="115" spans="1:22" x14ac:dyDescent="0.35">
      <c r="A115" s="2">
        <v>45696</v>
      </c>
      <c r="B115" t="s">
        <v>54</v>
      </c>
      <c r="C115" s="5" t="s">
        <v>193</v>
      </c>
      <c r="E115" s="5" t="s">
        <v>174</v>
      </c>
      <c r="F115" t="s">
        <v>56</v>
      </c>
      <c r="G115" t="s">
        <v>33</v>
      </c>
      <c r="H115" t="s">
        <v>194</v>
      </c>
      <c r="I115">
        <v>55000</v>
      </c>
      <c r="J115" s="8">
        <v>-0.06</v>
      </c>
      <c r="K115">
        <v>30</v>
      </c>
      <c r="M115">
        <f t="shared" si="4"/>
        <v>0</v>
      </c>
      <c r="N115" t="s">
        <v>28</v>
      </c>
      <c r="O115" t="s">
        <v>53</v>
      </c>
      <c r="P115">
        <v>56500</v>
      </c>
      <c r="R115" s="9">
        <v>-0.06</v>
      </c>
      <c r="S115">
        <v>30</v>
      </c>
      <c r="T115" s="11">
        <f t="shared" si="5"/>
        <v>0</v>
      </c>
      <c r="U115" s="11">
        <f t="shared" si="6"/>
        <v>0</v>
      </c>
      <c r="V115" s="11">
        <f t="shared" si="7"/>
        <v>0</v>
      </c>
    </row>
    <row r="116" spans="1:22" x14ac:dyDescent="0.35">
      <c r="A116" s="2">
        <v>45698</v>
      </c>
      <c r="B116" t="s">
        <v>54</v>
      </c>
      <c r="C116" s="5" t="s">
        <v>190</v>
      </c>
      <c r="E116" s="5" t="s">
        <v>184</v>
      </c>
      <c r="F116" t="s">
        <v>56</v>
      </c>
      <c r="G116" t="s">
        <v>33</v>
      </c>
      <c r="H116" t="s">
        <v>195</v>
      </c>
      <c r="I116">
        <v>66000</v>
      </c>
      <c r="J116" s="8">
        <v>-0.06</v>
      </c>
      <c r="K116">
        <v>30</v>
      </c>
      <c r="M116">
        <f t="shared" si="4"/>
        <v>0</v>
      </c>
      <c r="N116" t="s">
        <v>28</v>
      </c>
      <c r="O116" t="s">
        <v>53</v>
      </c>
      <c r="P116">
        <v>68000</v>
      </c>
      <c r="R116" s="9">
        <v>-0.06</v>
      </c>
      <c r="S116">
        <v>30</v>
      </c>
      <c r="T116" s="11">
        <f t="shared" si="5"/>
        <v>0</v>
      </c>
      <c r="U116" s="11">
        <f t="shared" si="6"/>
        <v>0</v>
      </c>
      <c r="V116" s="11">
        <f t="shared" si="7"/>
        <v>0</v>
      </c>
    </row>
    <row r="117" spans="1:22" x14ac:dyDescent="0.35">
      <c r="A117" s="2">
        <v>45698</v>
      </c>
      <c r="B117" t="s">
        <v>54</v>
      </c>
      <c r="C117" s="5" t="s">
        <v>196</v>
      </c>
      <c r="E117" s="5" t="s">
        <v>36</v>
      </c>
      <c r="F117" t="s">
        <v>56</v>
      </c>
      <c r="G117" t="s">
        <v>33</v>
      </c>
      <c r="H117" t="s">
        <v>195</v>
      </c>
      <c r="I117">
        <v>49500</v>
      </c>
      <c r="J117" s="8">
        <v>-0.06</v>
      </c>
      <c r="K117">
        <v>30</v>
      </c>
      <c r="M117">
        <f t="shared" si="4"/>
        <v>0</v>
      </c>
      <c r="N117" t="s">
        <v>28</v>
      </c>
      <c r="O117" t="s">
        <v>53</v>
      </c>
      <c r="P117">
        <v>51000</v>
      </c>
      <c r="R117" s="9">
        <v>-0.06</v>
      </c>
      <c r="S117">
        <v>30</v>
      </c>
      <c r="T117" s="11">
        <f t="shared" si="5"/>
        <v>0</v>
      </c>
      <c r="U117" s="11">
        <f t="shared" si="6"/>
        <v>0</v>
      </c>
      <c r="V117" s="11">
        <f t="shared" si="7"/>
        <v>0</v>
      </c>
    </row>
    <row r="118" spans="1:22" x14ac:dyDescent="0.35">
      <c r="A118" s="2">
        <v>45703</v>
      </c>
      <c r="B118" t="s">
        <v>30</v>
      </c>
      <c r="C118" s="5" t="s">
        <v>197</v>
      </c>
      <c r="E118" s="5" t="s">
        <v>192</v>
      </c>
      <c r="F118" t="s">
        <v>198</v>
      </c>
      <c r="G118" t="s">
        <v>199</v>
      </c>
      <c r="H118" t="s">
        <v>200</v>
      </c>
      <c r="I118">
        <v>118285</v>
      </c>
      <c r="J118" s="8" t="s">
        <v>201</v>
      </c>
      <c r="K118">
        <v>30</v>
      </c>
      <c r="M118" t="e">
        <f t="shared" si="4"/>
        <v>#VALUE!</v>
      </c>
      <c r="N118" t="s">
        <v>52</v>
      </c>
      <c r="O118" t="s">
        <v>35</v>
      </c>
      <c r="P118">
        <v>118285</v>
      </c>
      <c r="R118" s="9">
        <v>-0.06</v>
      </c>
      <c r="S118">
        <v>30</v>
      </c>
      <c r="T118" s="11">
        <f t="shared" si="5"/>
        <v>0</v>
      </c>
      <c r="U118" s="11" t="e">
        <f t="shared" si="6"/>
        <v>#VALUE!</v>
      </c>
      <c r="V118" s="11">
        <f t="shared" si="7"/>
        <v>0</v>
      </c>
    </row>
    <row r="119" spans="1:22" x14ac:dyDescent="0.35">
      <c r="A119" s="2">
        <v>45703</v>
      </c>
      <c r="B119" t="s">
        <v>202</v>
      </c>
      <c r="C119" s="5" t="s">
        <v>203</v>
      </c>
      <c r="F119" t="s">
        <v>56</v>
      </c>
      <c r="G119" t="s">
        <v>33</v>
      </c>
      <c r="H119" t="s">
        <v>204</v>
      </c>
      <c r="I119">
        <v>51000</v>
      </c>
      <c r="J119" s="8">
        <v>-0.06</v>
      </c>
      <c r="K119">
        <v>30</v>
      </c>
      <c r="M119">
        <f t="shared" si="4"/>
        <v>0</v>
      </c>
      <c r="N119" t="s">
        <v>28</v>
      </c>
      <c r="O119" t="s">
        <v>53</v>
      </c>
      <c r="P119">
        <v>53000</v>
      </c>
      <c r="R119" s="9">
        <v>-0.06</v>
      </c>
      <c r="S119">
        <v>30</v>
      </c>
      <c r="T119" s="11">
        <f t="shared" si="5"/>
        <v>0</v>
      </c>
      <c r="U119" s="11">
        <f t="shared" si="6"/>
        <v>0</v>
      </c>
      <c r="V119" s="11">
        <f t="shared" si="7"/>
        <v>0</v>
      </c>
    </row>
    <row r="120" spans="1:22" x14ac:dyDescent="0.35">
      <c r="A120" s="2">
        <v>45703</v>
      </c>
      <c r="B120" t="s">
        <v>202</v>
      </c>
      <c r="C120" s="5" t="s">
        <v>203</v>
      </c>
      <c r="F120" t="s">
        <v>56</v>
      </c>
      <c r="G120" t="s">
        <v>33</v>
      </c>
      <c r="H120" t="s">
        <v>27</v>
      </c>
      <c r="I120">
        <v>51000</v>
      </c>
      <c r="J120" s="8">
        <v>-0.06</v>
      </c>
      <c r="K120">
        <v>30</v>
      </c>
      <c r="M120">
        <f t="shared" si="4"/>
        <v>0</v>
      </c>
      <c r="N120" t="s">
        <v>28</v>
      </c>
      <c r="O120" t="s">
        <v>53</v>
      </c>
      <c r="P120">
        <v>53000</v>
      </c>
      <c r="R120" s="9">
        <v>-0.06</v>
      </c>
      <c r="S120">
        <v>30</v>
      </c>
      <c r="T120" s="11">
        <f t="shared" si="5"/>
        <v>0</v>
      </c>
      <c r="U120" s="11">
        <f t="shared" si="6"/>
        <v>0</v>
      </c>
      <c r="V120" s="11">
        <f t="shared" si="7"/>
        <v>0</v>
      </c>
    </row>
    <row r="121" spans="1:22" x14ac:dyDescent="0.35">
      <c r="A121" s="2">
        <v>45707</v>
      </c>
      <c r="B121" t="s">
        <v>54</v>
      </c>
      <c r="C121" s="5" t="s">
        <v>205</v>
      </c>
      <c r="F121" t="s">
        <v>206</v>
      </c>
      <c r="G121" t="s">
        <v>33</v>
      </c>
      <c r="H121" t="s">
        <v>195</v>
      </c>
      <c r="I121">
        <v>38000</v>
      </c>
      <c r="J121" s="8">
        <v>-0.06</v>
      </c>
      <c r="K121">
        <v>30</v>
      </c>
      <c r="M121">
        <f t="shared" si="4"/>
        <v>0</v>
      </c>
      <c r="N121" t="s">
        <v>28</v>
      </c>
      <c r="O121" t="s">
        <v>35</v>
      </c>
      <c r="P121">
        <v>38000</v>
      </c>
      <c r="R121" s="9">
        <v>-0.06</v>
      </c>
      <c r="S121">
        <v>30</v>
      </c>
      <c r="T121" s="11">
        <f t="shared" si="5"/>
        <v>0</v>
      </c>
      <c r="U121" s="11">
        <f t="shared" si="6"/>
        <v>0</v>
      </c>
      <c r="V121" s="11">
        <f t="shared" si="7"/>
        <v>0</v>
      </c>
    </row>
    <row r="122" spans="1:22" x14ac:dyDescent="0.35">
      <c r="A122" s="2">
        <v>45707</v>
      </c>
      <c r="B122" t="s">
        <v>54</v>
      </c>
      <c r="C122" s="5" t="s">
        <v>205</v>
      </c>
      <c r="F122" t="s">
        <v>206</v>
      </c>
      <c r="G122" t="s">
        <v>33</v>
      </c>
      <c r="H122" t="s">
        <v>27</v>
      </c>
      <c r="I122">
        <v>38000</v>
      </c>
      <c r="J122" s="8">
        <v>-0.06</v>
      </c>
      <c r="K122">
        <v>30</v>
      </c>
      <c r="M122">
        <f t="shared" si="4"/>
        <v>0</v>
      </c>
      <c r="N122" t="s">
        <v>28</v>
      </c>
      <c r="O122" t="s">
        <v>35</v>
      </c>
      <c r="P122">
        <v>38000</v>
      </c>
      <c r="R122" s="9">
        <v>-0.06</v>
      </c>
      <c r="S122">
        <v>30</v>
      </c>
      <c r="T122" s="11">
        <f t="shared" si="5"/>
        <v>0</v>
      </c>
      <c r="U122" s="11">
        <f t="shared" si="6"/>
        <v>0</v>
      </c>
      <c r="V122" s="11">
        <f t="shared" si="7"/>
        <v>0</v>
      </c>
    </row>
    <row r="123" spans="1:22" x14ac:dyDescent="0.35">
      <c r="A123" s="2">
        <v>45707</v>
      </c>
      <c r="B123" t="s">
        <v>54</v>
      </c>
      <c r="C123" s="5" t="s">
        <v>205</v>
      </c>
      <c r="F123" t="s">
        <v>206</v>
      </c>
      <c r="G123" t="s">
        <v>33</v>
      </c>
      <c r="H123" t="s">
        <v>207</v>
      </c>
      <c r="I123">
        <v>38000</v>
      </c>
      <c r="J123" s="8">
        <v>-0.06</v>
      </c>
      <c r="K123">
        <v>30</v>
      </c>
      <c r="M123">
        <f t="shared" si="4"/>
        <v>0</v>
      </c>
      <c r="O123" t="s">
        <v>35</v>
      </c>
      <c r="P123">
        <v>38000</v>
      </c>
      <c r="R123" s="9">
        <v>-0.06</v>
      </c>
      <c r="S123">
        <v>30</v>
      </c>
      <c r="T123" s="11">
        <f t="shared" si="5"/>
        <v>0</v>
      </c>
      <c r="U123" s="11">
        <f t="shared" si="6"/>
        <v>0</v>
      </c>
      <c r="V123" s="11">
        <f t="shared" si="7"/>
        <v>0</v>
      </c>
    </row>
    <row r="124" spans="1:22" x14ac:dyDescent="0.35">
      <c r="A124" s="2">
        <v>45709</v>
      </c>
      <c r="B124" t="s">
        <v>42</v>
      </c>
      <c r="C124" s="5" t="s">
        <v>208</v>
      </c>
      <c r="D124" s="5" t="s">
        <v>157</v>
      </c>
      <c r="F124" t="s">
        <v>209</v>
      </c>
      <c r="G124" t="s">
        <v>33</v>
      </c>
      <c r="H124" t="s">
        <v>210</v>
      </c>
      <c r="I124">
        <v>49000</v>
      </c>
      <c r="J124" s="8">
        <v>-0.06</v>
      </c>
      <c r="K124">
        <v>30</v>
      </c>
      <c r="M124">
        <f t="shared" si="4"/>
        <v>0</v>
      </c>
      <c r="N124" t="s">
        <v>95</v>
      </c>
      <c r="O124" t="s">
        <v>35</v>
      </c>
      <c r="P124">
        <v>49000</v>
      </c>
      <c r="R124" s="9">
        <v>-0.06</v>
      </c>
      <c r="S124">
        <v>30</v>
      </c>
      <c r="T124" s="11">
        <f t="shared" si="5"/>
        <v>0</v>
      </c>
      <c r="U124" s="11">
        <f t="shared" si="6"/>
        <v>0</v>
      </c>
      <c r="V124" s="11">
        <f t="shared" si="7"/>
        <v>0</v>
      </c>
    </row>
    <row r="125" spans="1:22" x14ac:dyDescent="0.35">
      <c r="A125" s="2">
        <v>45709</v>
      </c>
      <c r="B125" t="s">
        <v>42</v>
      </c>
      <c r="C125" s="5" t="s">
        <v>211</v>
      </c>
      <c r="D125" s="5" t="s">
        <v>132</v>
      </c>
      <c r="F125" t="s">
        <v>206</v>
      </c>
      <c r="G125" t="s">
        <v>44</v>
      </c>
      <c r="H125" t="s">
        <v>137</v>
      </c>
      <c r="I125">
        <v>36000</v>
      </c>
      <c r="J125" s="8">
        <v>-0.06</v>
      </c>
      <c r="K125">
        <v>30</v>
      </c>
      <c r="M125">
        <f t="shared" si="4"/>
        <v>0</v>
      </c>
      <c r="N125" t="s">
        <v>79</v>
      </c>
      <c r="O125" t="s">
        <v>212</v>
      </c>
      <c r="P125">
        <v>35925</v>
      </c>
      <c r="R125" s="9">
        <v>-0.04</v>
      </c>
      <c r="S125">
        <v>20</v>
      </c>
      <c r="T125" s="11">
        <f t="shared" si="5"/>
        <v>0</v>
      </c>
      <c r="U125" s="11">
        <f t="shared" si="6"/>
        <v>0</v>
      </c>
      <c r="V125" s="11">
        <f t="shared" si="7"/>
        <v>0</v>
      </c>
    </row>
    <row r="126" spans="1:22" x14ac:dyDescent="0.35">
      <c r="A126" s="2">
        <v>45715</v>
      </c>
      <c r="B126" t="s">
        <v>23</v>
      </c>
      <c r="C126" s="5" t="s">
        <v>213</v>
      </c>
      <c r="E126" s="5" t="s">
        <v>149</v>
      </c>
      <c r="F126" t="s">
        <v>56</v>
      </c>
      <c r="G126" t="s">
        <v>179</v>
      </c>
      <c r="H126" t="s">
        <v>214</v>
      </c>
      <c r="I126">
        <v>57000</v>
      </c>
      <c r="J126" s="8">
        <v>-0.06</v>
      </c>
      <c r="K126">
        <v>30</v>
      </c>
      <c r="M126">
        <f t="shared" si="4"/>
        <v>0</v>
      </c>
      <c r="N126" t="s">
        <v>28</v>
      </c>
      <c r="O126" t="s">
        <v>29</v>
      </c>
      <c r="P126">
        <v>57500</v>
      </c>
      <c r="R126" s="9">
        <v>0</v>
      </c>
      <c r="S126">
        <v>120</v>
      </c>
      <c r="T126" s="11">
        <f t="shared" si="5"/>
        <v>0</v>
      </c>
      <c r="U126" s="11">
        <f t="shared" si="6"/>
        <v>0</v>
      </c>
      <c r="V126" s="11">
        <f t="shared" si="7"/>
        <v>0</v>
      </c>
    </row>
    <row r="127" spans="1:22" x14ac:dyDescent="0.35">
      <c r="A127" s="2">
        <v>45719</v>
      </c>
      <c r="B127" t="s">
        <v>37</v>
      </c>
      <c r="C127" s="5" t="s">
        <v>105</v>
      </c>
      <c r="F127" t="s">
        <v>206</v>
      </c>
      <c r="G127" t="s">
        <v>50</v>
      </c>
      <c r="H127" t="s">
        <v>215</v>
      </c>
      <c r="I127">
        <v>43000</v>
      </c>
      <c r="J127" s="8">
        <v>-0.06</v>
      </c>
      <c r="K127">
        <v>30</v>
      </c>
      <c r="M127">
        <f t="shared" si="4"/>
        <v>0</v>
      </c>
      <c r="O127" t="s">
        <v>35</v>
      </c>
      <c r="P127">
        <v>43000</v>
      </c>
      <c r="R127" s="9">
        <v>-0.06</v>
      </c>
      <c r="S127">
        <v>30</v>
      </c>
      <c r="T127" s="11">
        <f t="shared" si="5"/>
        <v>0</v>
      </c>
      <c r="U127" s="11">
        <f t="shared" si="6"/>
        <v>0</v>
      </c>
      <c r="V127" s="11">
        <f t="shared" si="7"/>
        <v>0</v>
      </c>
    </row>
    <row r="128" spans="1:22" x14ac:dyDescent="0.35">
      <c r="A128" s="2">
        <v>45719</v>
      </c>
      <c r="B128" t="s">
        <v>37</v>
      </c>
      <c r="C128" s="5" t="s">
        <v>105</v>
      </c>
      <c r="F128" t="s">
        <v>206</v>
      </c>
      <c r="G128" t="s">
        <v>50</v>
      </c>
      <c r="H128" t="s">
        <v>135</v>
      </c>
      <c r="I128">
        <v>44000</v>
      </c>
      <c r="J128" s="8">
        <v>-0.06</v>
      </c>
      <c r="K128">
        <v>30</v>
      </c>
      <c r="M128">
        <f t="shared" si="4"/>
        <v>0</v>
      </c>
      <c r="N128" t="s">
        <v>52</v>
      </c>
      <c r="O128" t="s">
        <v>35</v>
      </c>
      <c r="P128">
        <v>44000</v>
      </c>
      <c r="R128" s="9">
        <v>-0.06</v>
      </c>
      <c r="S128">
        <v>30</v>
      </c>
      <c r="T128" s="11">
        <f t="shared" si="5"/>
        <v>0</v>
      </c>
      <c r="U128" s="11">
        <f t="shared" si="6"/>
        <v>0</v>
      </c>
      <c r="V128" s="11">
        <f t="shared" si="7"/>
        <v>0</v>
      </c>
    </row>
    <row r="129" spans="1:22" x14ac:dyDescent="0.35">
      <c r="A129" s="2">
        <v>414613</v>
      </c>
      <c r="B129" t="s">
        <v>37</v>
      </c>
      <c r="C129" s="5" t="s">
        <v>105</v>
      </c>
      <c r="F129" t="s">
        <v>206</v>
      </c>
      <c r="G129" t="s">
        <v>50</v>
      </c>
      <c r="H129" t="s">
        <v>116</v>
      </c>
      <c r="I129">
        <v>43000</v>
      </c>
      <c r="J129" s="8">
        <v>-0.06</v>
      </c>
      <c r="K129">
        <v>30</v>
      </c>
      <c r="M129">
        <f t="shared" si="4"/>
        <v>0</v>
      </c>
      <c r="N129" t="s">
        <v>116</v>
      </c>
      <c r="O129" t="s">
        <v>35</v>
      </c>
      <c r="P129">
        <v>43000</v>
      </c>
      <c r="R129" s="9">
        <v>-0.06</v>
      </c>
      <c r="S129">
        <v>30</v>
      </c>
      <c r="T129" s="11">
        <f t="shared" si="5"/>
        <v>0</v>
      </c>
      <c r="U129" s="11">
        <f t="shared" si="6"/>
        <v>0</v>
      </c>
      <c r="V129" s="11">
        <f t="shared" si="7"/>
        <v>0</v>
      </c>
    </row>
    <row r="130" spans="1:22" x14ac:dyDescent="0.35">
      <c r="A130" s="2">
        <v>45719</v>
      </c>
      <c r="B130" t="s">
        <v>37</v>
      </c>
      <c r="C130" s="5" t="s">
        <v>105</v>
      </c>
      <c r="F130" t="s">
        <v>206</v>
      </c>
      <c r="G130" t="s">
        <v>50</v>
      </c>
      <c r="H130" t="s">
        <v>136</v>
      </c>
      <c r="I130">
        <v>43000</v>
      </c>
      <c r="J130" s="8">
        <v>-0.06</v>
      </c>
      <c r="K130">
        <v>30</v>
      </c>
      <c r="M130">
        <f t="shared" ref="M130:M193" si="8">((I130*J130)+I130)*L130</f>
        <v>0</v>
      </c>
      <c r="N130" t="s">
        <v>28</v>
      </c>
      <c r="O130" t="s">
        <v>35</v>
      </c>
      <c r="P130">
        <v>43000</v>
      </c>
      <c r="R130" s="9">
        <v>-0.06</v>
      </c>
      <c r="S130">
        <v>30</v>
      </c>
      <c r="T130" s="11">
        <f t="shared" ref="T130:T193" si="9">((P130*R130)+P130)*L130</f>
        <v>0</v>
      </c>
      <c r="U130" s="11">
        <f t="shared" ref="U130:U193" si="10">T130-M130</f>
        <v>0</v>
      </c>
      <c r="V130" s="11">
        <f t="shared" ref="V130:V193" si="11">T130+Q130</f>
        <v>0</v>
      </c>
    </row>
    <row r="131" spans="1:22" x14ac:dyDescent="0.35">
      <c r="A131" t="s">
        <v>216</v>
      </c>
      <c r="B131" t="s">
        <v>37</v>
      </c>
      <c r="C131" s="5" t="s">
        <v>105</v>
      </c>
      <c r="F131" t="s">
        <v>206</v>
      </c>
      <c r="G131" t="s">
        <v>50</v>
      </c>
      <c r="H131" t="s">
        <v>217</v>
      </c>
      <c r="I131">
        <v>43300</v>
      </c>
      <c r="J131" s="8">
        <v>-0.06</v>
      </c>
      <c r="K131">
        <v>30</v>
      </c>
      <c r="M131">
        <f t="shared" si="8"/>
        <v>0</v>
      </c>
      <c r="O131" t="s">
        <v>35</v>
      </c>
      <c r="P131">
        <v>43300</v>
      </c>
      <c r="R131" s="9">
        <v>-0.06</v>
      </c>
      <c r="S131">
        <v>30</v>
      </c>
      <c r="T131" s="11">
        <f t="shared" si="9"/>
        <v>0</v>
      </c>
      <c r="U131" s="11">
        <f t="shared" si="10"/>
        <v>0</v>
      </c>
      <c r="V131" s="11">
        <f t="shared" si="11"/>
        <v>0</v>
      </c>
    </row>
    <row r="132" spans="1:22" x14ac:dyDescent="0.35">
      <c r="A132" s="2">
        <v>45720</v>
      </c>
      <c r="B132" t="s">
        <v>42</v>
      </c>
      <c r="D132" s="5" t="s">
        <v>104</v>
      </c>
      <c r="F132" t="s">
        <v>206</v>
      </c>
      <c r="G132" t="s">
        <v>33</v>
      </c>
      <c r="H132" t="s">
        <v>61</v>
      </c>
      <c r="I132">
        <v>32000</v>
      </c>
      <c r="J132" s="8">
        <v>-0.06</v>
      </c>
      <c r="K132">
        <v>30</v>
      </c>
      <c r="M132">
        <f t="shared" si="8"/>
        <v>0</v>
      </c>
      <c r="N132" t="s">
        <v>62</v>
      </c>
      <c r="O132" t="s">
        <v>35</v>
      </c>
      <c r="P132">
        <v>32000</v>
      </c>
      <c r="R132" s="9">
        <v>-0.06</v>
      </c>
      <c r="S132">
        <v>30</v>
      </c>
      <c r="T132" s="11">
        <f t="shared" si="9"/>
        <v>0</v>
      </c>
      <c r="U132" s="11">
        <f t="shared" si="10"/>
        <v>0</v>
      </c>
      <c r="V132" s="11">
        <f t="shared" si="11"/>
        <v>0</v>
      </c>
    </row>
    <row r="133" spans="1:22" x14ac:dyDescent="0.35">
      <c r="A133" s="2">
        <v>45726</v>
      </c>
      <c r="B133" t="s">
        <v>42</v>
      </c>
      <c r="D133" s="5" t="s">
        <v>218</v>
      </c>
      <c r="F133" t="s">
        <v>206</v>
      </c>
      <c r="G133" t="s">
        <v>33</v>
      </c>
      <c r="H133" t="s">
        <v>219</v>
      </c>
      <c r="I133">
        <v>31500</v>
      </c>
      <c r="J133" s="8">
        <v>-0.06</v>
      </c>
      <c r="K133">
        <v>30</v>
      </c>
      <c r="M133">
        <f t="shared" si="8"/>
        <v>0</v>
      </c>
      <c r="O133" t="s">
        <v>35</v>
      </c>
      <c r="P133">
        <v>31500</v>
      </c>
      <c r="R133" s="9">
        <v>-0.06</v>
      </c>
      <c r="S133">
        <v>30</v>
      </c>
      <c r="T133" s="11">
        <f t="shared" si="9"/>
        <v>0</v>
      </c>
      <c r="U133" s="11">
        <f t="shared" si="10"/>
        <v>0</v>
      </c>
      <c r="V133" s="11">
        <f t="shared" si="11"/>
        <v>0</v>
      </c>
    </row>
    <row r="134" spans="1:22" x14ac:dyDescent="0.35">
      <c r="A134" s="2">
        <v>45726</v>
      </c>
      <c r="B134" t="s">
        <v>145</v>
      </c>
      <c r="C134" s="5" t="s">
        <v>220</v>
      </c>
      <c r="F134" t="s">
        <v>206</v>
      </c>
      <c r="G134" t="s">
        <v>33</v>
      </c>
      <c r="H134" t="s">
        <v>221</v>
      </c>
      <c r="I134">
        <v>56000</v>
      </c>
      <c r="J134" s="8">
        <v>-0.06</v>
      </c>
      <c r="K134">
        <v>30</v>
      </c>
      <c r="M134">
        <f t="shared" si="8"/>
        <v>0</v>
      </c>
      <c r="N134" t="s">
        <v>65</v>
      </c>
      <c r="O134" t="s">
        <v>35</v>
      </c>
      <c r="P134">
        <v>56000</v>
      </c>
      <c r="R134" s="9">
        <v>-0.06</v>
      </c>
      <c r="S134">
        <v>30</v>
      </c>
      <c r="T134" s="11">
        <f t="shared" si="9"/>
        <v>0</v>
      </c>
      <c r="U134" s="11">
        <f t="shared" si="10"/>
        <v>0</v>
      </c>
      <c r="V134" s="11">
        <f t="shared" si="11"/>
        <v>0</v>
      </c>
    </row>
    <row r="135" spans="1:22" x14ac:dyDescent="0.35">
      <c r="A135" s="2">
        <v>45726</v>
      </c>
      <c r="B135" t="s">
        <v>145</v>
      </c>
      <c r="C135" s="5" t="s">
        <v>220</v>
      </c>
      <c r="F135" t="s">
        <v>206</v>
      </c>
      <c r="G135" t="s">
        <v>33</v>
      </c>
      <c r="H135" t="s">
        <v>189</v>
      </c>
      <c r="I135">
        <v>56000</v>
      </c>
      <c r="J135" s="8">
        <v>-0.06</v>
      </c>
      <c r="K135">
        <v>30</v>
      </c>
      <c r="M135">
        <f t="shared" si="8"/>
        <v>0</v>
      </c>
      <c r="N135" t="s">
        <v>28</v>
      </c>
      <c r="O135" t="s">
        <v>35</v>
      </c>
      <c r="P135">
        <v>56000</v>
      </c>
      <c r="R135" s="9">
        <v>-0.06</v>
      </c>
      <c r="S135">
        <v>30</v>
      </c>
      <c r="T135" s="11">
        <f t="shared" si="9"/>
        <v>0</v>
      </c>
      <c r="U135" s="11">
        <f t="shared" si="10"/>
        <v>0</v>
      </c>
      <c r="V135" s="11">
        <f t="shared" si="11"/>
        <v>0</v>
      </c>
    </row>
    <row r="136" spans="1:22" x14ac:dyDescent="0.35">
      <c r="A136" s="2">
        <v>45726</v>
      </c>
      <c r="B136" t="s">
        <v>145</v>
      </c>
      <c r="C136" s="5" t="s">
        <v>220</v>
      </c>
      <c r="F136" t="s">
        <v>206</v>
      </c>
      <c r="G136" t="s">
        <v>33</v>
      </c>
      <c r="H136" t="s">
        <v>161</v>
      </c>
      <c r="I136">
        <v>57500</v>
      </c>
      <c r="J136" s="8">
        <v>-0.06</v>
      </c>
      <c r="K136">
        <v>30</v>
      </c>
      <c r="M136">
        <f t="shared" si="8"/>
        <v>0</v>
      </c>
      <c r="N136" t="s">
        <v>28</v>
      </c>
      <c r="O136" t="s">
        <v>35</v>
      </c>
      <c r="P136">
        <v>57500</v>
      </c>
      <c r="R136" s="9">
        <v>-0.06</v>
      </c>
      <c r="S136">
        <v>30</v>
      </c>
      <c r="T136" s="11">
        <f t="shared" si="9"/>
        <v>0</v>
      </c>
      <c r="U136" s="11">
        <f t="shared" si="10"/>
        <v>0</v>
      </c>
      <c r="V136" s="11">
        <f t="shared" si="11"/>
        <v>0</v>
      </c>
    </row>
    <row r="137" spans="1:22" x14ac:dyDescent="0.35">
      <c r="A137" s="2">
        <v>45726</v>
      </c>
      <c r="B137" t="s">
        <v>145</v>
      </c>
      <c r="C137" s="5" t="s">
        <v>220</v>
      </c>
      <c r="F137" t="s">
        <v>206</v>
      </c>
      <c r="G137" t="s">
        <v>33</v>
      </c>
      <c r="H137" t="s">
        <v>65</v>
      </c>
      <c r="I137">
        <v>55500</v>
      </c>
      <c r="J137" s="8">
        <v>-0.06</v>
      </c>
      <c r="K137">
        <v>30</v>
      </c>
      <c r="M137">
        <f t="shared" si="8"/>
        <v>0</v>
      </c>
      <c r="N137" t="s">
        <v>65</v>
      </c>
      <c r="O137" t="s">
        <v>35</v>
      </c>
      <c r="P137">
        <v>55500</v>
      </c>
      <c r="R137" s="9">
        <v>-0.06</v>
      </c>
      <c r="S137">
        <v>30</v>
      </c>
      <c r="T137" s="11">
        <f t="shared" si="9"/>
        <v>0</v>
      </c>
      <c r="U137" s="11">
        <f t="shared" si="10"/>
        <v>0</v>
      </c>
      <c r="V137" s="11">
        <f t="shared" si="11"/>
        <v>0</v>
      </c>
    </row>
    <row r="138" spans="1:22" x14ac:dyDescent="0.35">
      <c r="A138" s="2">
        <v>45726</v>
      </c>
      <c r="B138" t="s">
        <v>145</v>
      </c>
      <c r="C138" s="5" t="s">
        <v>220</v>
      </c>
      <c r="F138" t="s">
        <v>206</v>
      </c>
      <c r="G138" t="s">
        <v>33</v>
      </c>
      <c r="H138" t="s">
        <v>27</v>
      </c>
      <c r="I138">
        <v>58000</v>
      </c>
      <c r="J138" s="8">
        <v>-0.06</v>
      </c>
      <c r="K138">
        <v>30</v>
      </c>
      <c r="M138">
        <f t="shared" si="8"/>
        <v>0</v>
      </c>
      <c r="N138" t="s">
        <v>28</v>
      </c>
      <c r="O138" t="s">
        <v>35</v>
      </c>
      <c r="P138">
        <v>58000</v>
      </c>
      <c r="R138" s="9">
        <v>-0.06</v>
      </c>
      <c r="S138">
        <v>30</v>
      </c>
      <c r="T138" s="11">
        <f t="shared" si="9"/>
        <v>0</v>
      </c>
      <c r="U138" s="11">
        <f t="shared" si="10"/>
        <v>0</v>
      </c>
      <c r="V138" s="11">
        <f t="shared" si="11"/>
        <v>0</v>
      </c>
    </row>
    <row r="139" spans="1:22" x14ac:dyDescent="0.35">
      <c r="A139" s="2">
        <v>45729</v>
      </c>
      <c r="B139" t="s">
        <v>54</v>
      </c>
      <c r="E139" s="5" t="s">
        <v>192</v>
      </c>
      <c r="F139" t="s">
        <v>56</v>
      </c>
      <c r="G139" t="s">
        <v>33</v>
      </c>
      <c r="H139" t="s">
        <v>222</v>
      </c>
      <c r="I139">
        <v>85000</v>
      </c>
      <c r="J139" s="8">
        <v>-0.06</v>
      </c>
      <c r="K139">
        <v>30</v>
      </c>
      <c r="M139">
        <f t="shared" si="8"/>
        <v>0</v>
      </c>
      <c r="N139" t="s">
        <v>28</v>
      </c>
      <c r="O139" t="s">
        <v>53</v>
      </c>
      <c r="P139">
        <v>87000</v>
      </c>
      <c r="R139" s="9">
        <v>0</v>
      </c>
      <c r="S139">
        <v>120</v>
      </c>
      <c r="T139" s="11">
        <f t="shared" si="9"/>
        <v>0</v>
      </c>
      <c r="U139" s="11">
        <f t="shared" si="10"/>
        <v>0</v>
      </c>
      <c r="V139" s="11">
        <f t="shared" si="11"/>
        <v>0</v>
      </c>
    </row>
    <row r="140" spans="1:22" x14ac:dyDescent="0.35">
      <c r="A140" s="2">
        <v>45729</v>
      </c>
      <c r="B140" t="s">
        <v>54</v>
      </c>
      <c r="E140" s="5" t="s">
        <v>223</v>
      </c>
      <c r="F140" t="s">
        <v>56</v>
      </c>
      <c r="G140" t="s">
        <v>33</v>
      </c>
      <c r="H140" t="s">
        <v>222</v>
      </c>
      <c r="I140">
        <v>95000</v>
      </c>
      <c r="J140" s="8">
        <v>-0.06</v>
      </c>
      <c r="K140">
        <v>30</v>
      </c>
      <c r="M140">
        <f t="shared" si="8"/>
        <v>0</v>
      </c>
      <c r="N140" t="s">
        <v>28</v>
      </c>
      <c r="O140" t="s">
        <v>53</v>
      </c>
      <c r="P140">
        <v>97000</v>
      </c>
      <c r="R140" s="9">
        <v>0</v>
      </c>
      <c r="S140">
        <v>120</v>
      </c>
      <c r="T140" s="11">
        <f t="shared" si="9"/>
        <v>0</v>
      </c>
      <c r="U140" s="11">
        <f t="shared" si="10"/>
        <v>0</v>
      </c>
      <c r="V140" s="11">
        <f t="shared" si="11"/>
        <v>0</v>
      </c>
    </row>
    <row r="141" spans="1:22" x14ac:dyDescent="0.35">
      <c r="A141" s="2">
        <v>45729</v>
      </c>
      <c r="B141" t="s">
        <v>145</v>
      </c>
      <c r="C141" s="5" t="s">
        <v>220</v>
      </c>
      <c r="F141" t="s">
        <v>56</v>
      </c>
      <c r="G141" t="s">
        <v>33</v>
      </c>
      <c r="H141" t="s">
        <v>189</v>
      </c>
      <c r="I141">
        <v>51500</v>
      </c>
      <c r="J141" s="8">
        <v>-0.06</v>
      </c>
      <c r="K141">
        <v>30</v>
      </c>
      <c r="M141">
        <f t="shared" si="8"/>
        <v>0</v>
      </c>
      <c r="N141" t="s">
        <v>28</v>
      </c>
      <c r="O141" t="s">
        <v>53</v>
      </c>
      <c r="P141">
        <v>52500</v>
      </c>
      <c r="R141" s="9">
        <v>-0.06</v>
      </c>
      <c r="S141">
        <v>30</v>
      </c>
      <c r="T141" s="11">
        <f t="shared" si="9"/>
        <v>0</v>
      </c>
      <c r="U141" s="11">
        <f t="shared" si="10"/>
        <v>0</v>
      </c>
      <c r="V141" s="11">
        <f t="shared" si="11"/>
        <v>0</v>
      </c>
    </row>
    <row r="142" spans="1:22" x14ac:dyDescent="0.35">
      <c r="A142" s="2">
        <v>45733</v>
      </c>
      <c r="F142" t="s">
        <v>206</v>
      </c>
      <c r="G142" t="s">
        <v>33</v>
      </c>
      <c r="H142" t="s">
        <v>224</v>
      </c>
      <c r="I142">
        <v>46250</v>
      </c>
      <c r="J142" s="8">
        <v>-0.06</v>
      </c>
      <c r="K142">
        <v>30</v>
      </c>
      <c r="M142">
        <f t="shared" si="8"/>
        <v>0</v>
      </c>
      <c r="N142" t="s">
        <v>65</v>
      </c>
      <c r="O142" t="s">
        <v>35</v>
      </c>
      <c r="P142">
        <v>46250</v>
      </c>
      <c r="R142" s="9">
        <v>-0.06</v>
      </c>
      <c r="S142">
        <v>30</v>
      </c>
      <c r="T142" s="11">
        <f t="shared" si="9"/>
        <v>0</v>
      </c>
      <c r="U142" s="11">
        <f t="shared" si="10"/>
        <v>0</v>
      </c>
      <c r="V142" s="11">
        <f t="shared" si="11"/>
        <v>0</v>
      </c>
    </row>
    <row r="143" spans="1:22" x14ac:dyDescent="0.35">
      <c r="A143" s="2">
        <v>45735</v>
      </c>
      <c r="B143" t="s">
        <v>54</v>
      </c>
      <c r="E143" s="5" t="s">
        <v>182</v>
      </c>
      <c r="F143" t="s">
        <v>56</v>
      </c>
      <c r="G143" t="s">
        <v>33</v>
      </c>
      <c r="H143" t="s">
        <v>222</v>
      </c>
      <c r="I143">
        <v>111000</v>
      </c>
      <c r="J143" s="8">
        <v>-0.06</v>
      </c>
      <c r="K143">
        <v>30</v>
      </c>
      <c r="M143">
        <f t="shared" si="8"/>
        <v>0</v>
      </c>
      <c r="N143" t="s">
        <v>28</v>
      </c>
      <c r="O143" t="s">
        <v>53</v>
      </c>
      <c r="P143">
        <v>115000</v>
      </c>
      <c r="R143" s="9">
        <v>-0.04</v>
      </c>
      <c r="S143">
        <v>30</v>
      </c>
      <c r="T143" s="11">
        <f t="shared" si="9"/>
        <v>0</v>
      </c>
      <c r="U143" s="11">
        <f t="shared" si="10"/>
        <v>0</v>
      </c>
      <c r="V143" s="11">
        <f t="shared" si="11"/>
        <v>0</v>
      </c>
    </row>
    <row r="144" spans="1:22" x14ac:dyDescent="0.35">
      <c r="A144" s="2">
        <v>45735</v>
      </c>
      <c r="B144" t="s">
        <v>54</v>
      </c>
      <c r="E144" s="5" t="s">
        <v>182</v>
      </c>
      <c r="F144" t="s">
        <v>225</v>
      </c>
      <c r="G144" t="s">
        <v>33</v>
      </c>
      <c r="H144" t="s">
        <v>226</v>
      </c>
      <c r="I144">
        <v>125000</v>
      </c>
      <c r="J144" s="8">
        <v>-0.02</v>
      </c>
      <c r="K144">
        <v>30</v>
      </c>
      <c r="M144">
        <f t="shared" si="8"/>
        <v>0</v>
      </c>
      <c r="O144" t="s">
        <v>53</v>
      </c>
      <c r="P144">
        <v>127250</v>
      </c>
      <c r="R144" s="9">
        <v>-0.02</v>
      </c>
      <c r="S144">
        <v>30</v>
      </c>
      <c r="T144" s="11">
        <f t="shared" si="9"/>
        <v>0</v>
      </c>
      <c r="U144" s="11">
        <f t="shared" si="10"/>
        <v>0</v>
      </c>
      <c r="V144" s="11">
        <f t="shared" si="11"/>
        <v>0</v>
      </c>
    </row>
    <row r="145" spans="1:22" x14ac:dyDescent="0.35">
      <c r="A145" s="2">
        <v>45741</v>
      </c>
      <c r="B145" t="s">
        <v>23</v>
      </c>
      <c r="C145" s="5" t="s">
        <v>227</v>
      </c>
      <c r="F145" t="s">
        <v>206</v>
      </c>
      <c r="G145" t="s">
        <v>33</v>
      </c>
      <c r="H145" t="s">
        <v>228</v>
      </c>
      <c r="I145">
        <v>54000</v>
      </c>
      <c r="J145" s="8">
        <v>-0.06</v>
      </c>
      <c r="K145">
        <v>30</v>
      </c>
      <c r="M145">
        <f t="shared" si="8"/>
        <v>0</v>
      </c>
      <c r="N145" t="s">
        <v>65</v>
      </c>
      <c r="O145" t="s">
        <v>35</v>
      </c>
      <c r="P145">
        <v>54000</v>
      </c>
      <c r="R145" s="9">
        <v>-0.06</v>
      </c>
      <c r="S145">
        <v>30</v>
      </c>
      <c r="T145" s="11">
        <f t="shared" si="9"/>
        <v>0</v>
      </c>
      <c r="U145" s="11">
        <f t="shared" si="10"/>
        <v>0</v>
      </c>
      <c r="V145" s="11">
        <f t="shared" si="11"/>
        <v>0</v>
      </c>
    </row>
    <row r="146" spans="1:22" x14ac:dyDescent="0.35">
      <c r="A146" s="2">
        <v>45741</v>
      </c>
      <c r="B146" t="s">
        <v>42</v>
      </c>
      <c r="D146" s="5" t="s">
        <v>229</v>
      </c>
      <c r="F146" t="s">
        <v>230</v>
      </c>
      <c r="G146" t="s">
        <v>50</v>
      </c>
      <c r="H146" t="s">
        <v>107</v>
      </c>
      <c r="I146">
        <v>7500</v>
      </c>
      <c r="J146" s="8">
        <v>-0.08</v>
      </c>
      <c r="K146">
        <v>30</v>
      </c>
      <c r="M146">
        <f t="shared" si="8"/>
        <v>0</v>
      </c>
      <c r="N146" t="s">
        <v>52</v>
      </c>
      <c r="O146" t="s">
        <v>35</v>
      </c>
      <c r="P146">
        <v>7500</v>
      </c>
      <c r="R146" s="9">
        <v>-0.06</v>
      </c>
      <c r="S146">
        <v>30</v>
      </c>
      <c r="T146" s="11">
        <f t="shared" si="9"/>
        <v>0</v>
      </c>
      <c r="U146" s="11">
        <f t="shared" si="10"/>
        <v>0</v>
      </c>
      <c r="V146" s="11">
        <f t="shared" si="11"/>
        <v>0</v>
      </c>
    </row>
    <row r="147" spans="1:22" x14ac:dyDescent="0.35">
      <c r="A147" s="2">
        <v>45741</v>
      </c>
      <c r="B147" t="s">
        <v>42</v>
      </c>
      <c r="D147" s="5" t="s">
        <v>231</v>
      </c>
      <c r="F147" t="s">
        <v>56</v>
      </c>
      <c r="G147" t="s">
        <v>33</v>
      </c>
      <c r="H147" t="s">
        <v>112</v>
      </c>
      <c r="I147">
        <v>46250</v>
      </c>
      <c r="J147" s="8">
        <v>-0.06</v>
      </c>
      <c r="K147">
        <v>30</v>
      </c>
      <c r="M147">
        <f t="shared" si="8"/>
        <v>0</v>
      </c>
      <c r="N147" t="s">
        <v>28</v>
      </c>
      <c r="O147" t="s">
        <v>53</v>
      </c>
      <c r="P147">
        <v>47250</v>
      </c>
      <c r="R147" s="9">
        <v>-0.06</v>
      </c>
      <c r="S147">
        <v>30</v>
      </c>
      <c r="T147" s="11">
        <f t="shared" si="9"/>
        <v>0</v>
      </c>
      <c r="U147" s="11">
        <f t="shared" si="10"/>
        <v>0</v>
      </c>
      <c r="V147" s="11">
        <f t="shared" si="11"/>
        <v>0</v>
      </c>
    </row>
    <row r="148" spans="1:22" x14ac:dyDescent="0.35">
      <c r="A148" s="2">
        <v>45741</v>
      </c>
      <c r="B148" t="s">
        <v>145</v>
      </c>
      <c r="C148" s="5" t="s">
        <v>220</v>
      </c>
      <c r="F148" t="s">
        <v>206</v>
      </c>
      <c r="G148" t="s">
        <v>33</v>
      </c>
      <c r="H148" t="s">
        <v>65</v>
      </c>
      <c r="I148">
        <v>55000</v>
      </c>
      <c r="J148" s="8">
        <v>-0.06</v>
      </c>
      <c r="K148">
        <v>30</v>
      </c>
      <c r="M148">
        <f t="shared" si="8"/>
        <v>0</v>
      </c>
      <c r="N148" t="s">
        <v>65</v>
      </c>
      <c r="O148" t="s">
        <v>35</v>
      </c>
      <c r="P148">
        <v>55000</v>
      </c>
      <c r="R148" s="9">
        <v>-0.06</v>
      </c>
      <c r="S148">
        <v>30</v>
      </c>
      <c r="T148" s="11">
        <f t="shared" si="9"/>
        <v>0</v>
      </c>
      <c r="U148" s="11">
        <f t="shared" si="10"/>
        <v>0</v>
      </c>
      <c r="V148" s="11">
        <f t="shared" si="11"/>
        <v>0</v>
      </c>
    </row>
    <row r="149" spans="1:22" x14ac:dyDescent="0.35">
      <c r="A149" s="2">
        <v>45741</v>
      </c>
      <c r="B149" t="s">
        <v>145</v>
      </c>
      <c r="C149" s="5" t="s">
        <v>220</v>
      </c>
      <c r="F149" t="s">
        <v>206</v>
      </c>
      <c r="G149" t="s">
        <v>33</v>
      </c>
      <c r="H149" t="s">
        <v>189</v>
      </c>
      <c r="I149">
        <v>57000</v>
      </c>
      <c r="J149" s="8">
        <v>-0.06</v>
      </c>
      <c r="K149">
        <v>30</v>
      </c>
      <c r="M149">
        <f t="shared" si="8"/>
        <v>0</v>
      </c>
      <c r="N149" t="s">
        <v>28</v>
      </c>
      <c r="O149" t="s">
        <v>35</v>
      </c>
      <c r="P149">
        <v>55000</v>
      </c>
      <c r="R149" s="9">
        <v>-0.06</v>
      </c>
      <c r="S149">
        <v>30</v>
      </c>
      <c r="T149" s="11">
        <f t="shared" si="9"/>
        <v>0</v>
      </c>
      <c r="U149" s="11">
        <f t="shared" si="10"/>
        <v>0</v>
      </c>
      <c r="V149" s="11">
        <f t="shared" si="11"/>
        <v>0</v>
      </c>
    </row>
    <row r="150" spans="1:22" x14ac:dyDescent="0.35">
      <c r="A150" s="2">
        <v>45741</v>
      </c>
      <c r="B150" t="s">
        <v>86</v>
      </c>
      <c r="C150" s="5" t="s">
        <v>232</v>
      </c>
      <c r="F150" t="s">
        <v>206</v>
      </c>
      <c r="G150" t="s">
        <v>33</v>
      </c>
      <c r="H150" t="s">
        <v>195</v>
      </c>
      <c r="I150">
        <v>61500</v>
      </c>
      <c r="J150" s="8">
        <v>-0.06</v>
      </c>
      <c r="K150">
        <v>30</v>
      </c>
      <c r="M150">
        <f t="shared" si="8"/>
        <v>0</v>
      </c>
      <c r="N150" t="s">
        <v>28</v>
      </c>
      <c r="O150" t="s">
        <v>35</v>
      </c>
      <c r="P150">
        <v>61500</v>
      </c>
      <c r="R150" s="9">
        <v>-0.06</v>
      </c>
      <c r="S150">
        <v>30</v>
      </c>
      <c r="T150" s="11">
        <f t="shared" si="9"/>
        <v>0</v>
      </c>
      <c r="U150" s="11">
        <f t="shared" si="10"/>
        <v>0</v>
      </c>
      <c r="V150" s="11">
        <f t="shared" si="11"/>
        <v>0</v>
      </c>
    </row>
    <row r="151" spans="1:22" x14ac:dyDescent="0.35">
      <c r="A151" s="2">
        <v>45742</v>
      </c>
      <c r="B151" t="s">
        <v>42</v>
      </c>
      <c r="D151" s="5" t="s">
        <v>233</v>
      </c>
      <c r="F151" t="s">
        <v>234</v>
      </c>
      <c r="G151" t="s">
        <v>44</v>
      </c>
      <c r="H151" t="s">
        <v>235</v>
      </c>
      <c r="I151">
        <v>50500</v>
      </c>
      <c r="J151" s="8">
        <v>-0.05</v>
      </c>
      <c r="K151">
        <v>30</v>
      </c>
      <c r="M151">
        <f t="shared" si="8"/>
        <v>0</v>
      </c>
      <c r="N151" t="s">
        <v>95</v>
      </c>
      <c r="O151" t="s">
        <v>35</v>
      </c>
      <c r="P151">
        <v>50500</v>
      </c>
      <c r="R151" s="9">
        <v>-0.06</v>
      </c>
      <c r="S151">
        <v>30</v>
      </c>
      <c r="T151" s="11">
        <f t="shared" si="9"/>
        <v>0</v>
      </c>
      <c r="U151" s="11">
        <f t="shared" si="10"/>
        <v>0</v>
      </c>
      <c r="V151" s="11">
        <f t="shared" si="11"/>
        <v>0</v>
      </c>
    </row>
    <row r="152" spans="1:22" x14ac:dyDescent="0.35">
      <c r="A152" s="2">
        <v>45749</v>
      </c>
      <c r="B152" t="s">
        <v>42</v>
      </c>
      <c r="D152" s="5" t="s">
        <v>157</v>
      </c>
      <c r="F152" t="s">
        <v>56</v>
      </c>
      <c r="G152" t="s">
        <v>33</v>
      </c>
      <c r="H152" t="s">
        <v>236</v>
      </c>
      <c r="I152">
        <v>45700</v>
      </c>
      <c r="J152" s="8">
        <v>-0.06</v>
      </c>
      <c r="K152">
        <v>30</v>
      </c>
      <c r="M152">
        <f t="shared" si="8"/>
        <v>0</v>
      </c>
      <c r="O152" t="s">
        <v>80</v>
      </c>
      <c r="P152">
        <v>45700</v>
      </c>
      <c r="R152" s="9">
        <v>-0.04</v>
      </c>
      <c r="S152">
        <v>30</v>
      </c>
      <c r="T152" s="11">
        <f t="shared" si="9"/>
        <v>0</v>
      </c>
      <c r="U152" s="11">
        <f t="shared" si="10"/>
        <v>0</v>
      </c>
      <c r="V152" s="11">
        <f t="shared" si="11"/>
        <v>0</v>
      </c>
    </row>
    <row r="153" spans="1:22" x14ac:dyDescent="0.35">
      <c r="A153" s="2">
        <v>45758</v>
      </c>
      <c r="B153" t="s">
        <v>42</v>
      </c>
      <c r="D153" s="5" t="s">
        <v>186</v>
      </c>
      <c r="F153" t="s">
        <v>56</v>
      </c>
      <c r="G153" t="s">
        <v>33</v>
      </c>
      <c r="H153" t="s">
        <v>112</v>
      </c>
      <c r="I153">
        <v>45000</v>
      </c>
      <c r="J153" s="8">
        <v>-0.06</v>
      </c>
      <c r="K153">
        <v>30</v>
      </c>
      <c r="M153">
        <f t="shared" si="8"/>
        <v>0</v>
      </c>
      <c r="N153" t="s">
        <v>28</v>
      </c>
      <c r="O153" t="s">
        <v>53</v>
      </c>
      <c r="P153">
        <v>46000</v>
      </c>
      <c r="R153" s="9">
        <v>0</v>
      </c>
      <c r="S153">
        <v>120</v>
      </c>
      <c r="T153" s="11">
        <f t="shared" si="9"/>
        <v>0</v>
      </c>
      <c r="U153" s="11">
        <f t="shared" si="10"/>
        <v>0</v>
      </c>
      <c r="V153" s="11">
        <f t="shared" si="11"/>
        <v>0</v>
      </c>
    </row>
    <row r="154" spans="1:22" x14ac:dyDescent="0.35">
      <c r="A154" s="2">
        <v>45758</v>
      </c>
      <c r="B154" t="s">
        <v>42</v>
      </c>
      <c r="E154" s="5" t="s">
        <v>149</v>
      </c>
      <c r="F154" t="s">
        <v>56</v>
      </c>
      <c r="G154" t="s">
        <v>50</v>
      </c>
      <c r="H154" t="s">
        <v>150</v>
      </c>
      <c r="I154">
        <v>41000</v>
      </c>
      <c r="J154" s="8">
        <v>-0.06</v>
      </c>
      <c r="K154">
        <v>30</v>
      </c>
      <c r="M154">
        <f t="shared" si="8"/>
        <v>0</v>
      </c>
      <c r="N154" t="s">
        <v>52</v>
      </c>
      <c r="O154" t="s">
        <v>53</v>
      </c>
      <c r="P154">
        <v>43000</v>
      </c>
      <c r="R154" s="9">
        <v>0</v>
      </c>
      <c r="S154">
        <v>120</v>
      </c>
      <c r="T154" s="11">
        <f t="shared" si="9"/>
        <v>0</v>
      </c>
      <c r="U154" s="11">
        <f t="shared" si="10"/>
        <v>0</v>
      </c>
      <c r="V154" s="11">
        <f t="shared" si="11"/>
        <v>0</v>
      </c>
    </row>
    <row r="155" spans="1:22" x14ac:dyDescent="0.35">
      <c r="A155" s="2">
        <v>45758</v>
      </c>
      <c r="B155" t="s">
        <v>42</v>
      </c>
      <c r="E155" s="5" t="s">
        <v>184</v>
      </c>
      <c r="F155" t="s">
        <v>56</v>
      </c>
      <c r="G155" t="s">
        <v>50</v>
      </c>
      <c r="H155" t="s">
        <v>150</v>
      </c>
      <c r="I155">
        <v>43000</v>
      </c>
      <c r="J155" s="8">
        <v>-0.06</v>
      </c>
      <c r="K155">
        <v>30</v>
      </c>
      <c r="M155">
        <f t="shared" si="8"/>
        <v>0</v>
      </c>
      <c r="N155" t="s">
        <v>52</v>
      </c>
      <c r="O155" t="s">
        <v>53</v>
      </c>
      <c r="P155">
        <v>45000</v>
      </c>
      <c r="R155" s="9">
        <v>0</v>
      </c>
      <c r="S155">
        <v>120</v>
      </c>
      <c r="T155" s="11">
        <f t="shared" si="9"/>
        <v>0</v>
      </c>
      <c r="U155" s="11">
        <f t="shared" si="10"/>
        <v>0</v>
      </c>
      <c r="V155" s="11">
        <f t="shared" si="11"/>
        <v>0</v>
      </c>
    </row>
    <row r="156" spans="1:22" x14ac:dyDescent="0.35">
      <c r="A156" s="2">
        <v>45758</v>
      </c>
      <c r="B156" t="s">
        <v>42</v>
      </c>
      <c r="E156" s="5" t="s">
        <v>237</v>
      </c>
      <c r="F156" t="s">
        <v>56</v>
      </c>
      <c r="G156" t="s">
        <v>50</v>
      </c>
      <c r="H156" t="s">
        <v>150</v>
      </c>
      <c r="I156">
        <v>51000</v>
      </c>
      <c r="J156" s="8">
        <v>-0.06</v>
      </c>
      <c r="K156">
        <v>30</v>
      </c>
      <c r="M156">
        <f t="shared" si="8"/>
        <v>0</v>
      </c>
      <c r="N156" t="s">
        <v>52</v>
      </c>
      <c r="O156" t="s">
        <v>53</v>
      </c>
      <c r="P156">
        <v>53000</v>
      </c>
      <c r="R156" s="9">
        <v>0</v>
      </c>
      <c r="S156">
        <v>120</v>
      </c>
      <c r="T156" s="11">
        <f t="shared" si="9"/>
        <v>0</v>
      </c>
      <c r="U156" s="11">
        <f t="shared" si="10"/>
        <v>0</v>
      </c>
      <c r="V156" s="11">
        <f t="shared" si="11"/>
        <v>0</v>
      </c>
    </row>
    <row r="157" spans="1:22" x14ac:dyDescent="0.35">
      <c r="A157" s="2">
        <v>45758</v>
      </c>
      <c r="B157" t="s">
        <v>42</v>
      </c>
      <c r="C157" s="5" t="s">
        <v>238</v>
      </c>
      <c r="D157" s="5" t="s">
        <v>186</v>
      </c>
      <c r="F157" t="s">
        <v>56</v>
      </c>
      <c r="G157" t="s">
        <v>50</v>
      </c>
      <c r="H157" t="s">
        <v>150</v>
      </c>
      <c r="I157">
        <v>33500</v>
      </c>
      <c r="J157" s="8">
        <v>-0.06</v>
      </c>
      <c r="K157">
        <v>30</v>
      </c>
      <c r="M157">
        <f t="shared" si="8"/>
        <v>0</v>
      </c>
      <c r="N157" t="s">
        <v>52</v>
      </c>
      <c r="O157" t="s">
        <v>53</v>
      </c>
      <c r="P157">
        <v>38000</v>
      </c>
      <c r="R157" s="9">
        <v>0</v>
      </c>
      <c r="S157">
        <v>120</v>
      </c>
      <c r="T157" s="11">
        <f t="shared" si="9"/>
        <v>0</v>
      </c>
      <c r="U157" s="11">
        <f t="shared" si="10"/>
        <v>0</v>
      </c>
      <c r="V157" s="11">
        <f t="shared" si="11"/>
        <v>0</v>
      </c>
    </row>
    <row r="158" spans="1:22" x14ac:dyDescent="0.35">
      <c r="A158" s="2">
        <v>45770</v>
      </c>
      <c r="B158" t="s">
        <v>37</v>
      </c>
      <c r="C158" s="5" t="s">
        <v>120</v>
      </c>
      <c r="F158" t="s">
        <v>206</v>
      </c>
      <c r="G158" t="s">
        <v>33</v>
      </c>
      <c r="H158" t="s">
        <v>121</v>
      </c>
      <c r="I158">
        <v>30000</v>
      </c>
      <c r="J158" s="8">
        <v>-0.06</v>
      </c>
      <c r="K158">
        <v>30</v>
      </c>
      <c r="M158">
        <f t="shared" si="8"/>
        <v>0</v>
      </c>
      <c r="N158" t="s">
        <v>52</v>
      </c>
      <c r="O158" t="s">
        <v>35</v>
      </c>
      <c r="P158">
        <v>30000</v>
      </c>
      <c r="R158" s="9">
        <v>-0.06</v>
      </c>
      <c r="S158">
        <v>30</v>
      </c>
      <c r="T158" s="11">
        <f t="shared" si="9"/>
        <v>0</v>
      </c>
      <c r="U158" s="11">
        <f t="shared" si="10"/>
        <v>0</v>
      </c>
      <c r="V158" s="11">
        <f t="shared" si="11"/>
        <v>0</v>
      </c>
    </row>
    <row r="159" spans="1:22" x14ac:dyDescent="0.35">
      <c r="A159" s="2">
        <v>45770</v>
      </c>
      <c r="B159" t="s">
        <v>54</v>
      </c>
      <c r="C159" s="5" t="s">
        <v>205</v>
      </c>
      <c r="F159" t="s">
        <v>206</v>
      </c>
      <c r="G159" t="s">
        <v>50</v>
      </c>
      <c r="H159" t="s">
        <v>195</v>
      </c>
      <c r="I159">
        <v>38000</v>
      </c>
      <c r="J159" s="8">
        <v>-0.06</v>
      </c>
      <c r="K159">
        <v>30</v>
      </c>
      <c r="M159">
        <f t="shared" si="8"/>
        <v>0</v>
      </c>
      <c r="N159" t="s">
        <v>28</v>
      </c>
      <c r="O159" t="s">
        <v>35</v>
      </c>
      <c r="P159">
        <v>38000</v>
      </c>
      <c r="R159" s="9">
        <v>-0.06</v>
      </c>
      <c r="S159">
        <v>30</v>
      </c>
      <c r="T159" s="11">
        <f t="shared" si="9"/>
        <v>0</v>
      </c>
      <c r="U159" s="11">
        <f t="shared" si="10"/>
        <v>0</v>
      </c>
      <c r="V159" s="11">
        <f t="shared" si="11"/>
        <v>0</v>
      </c>
    </row>
    <row r="160" spans="1:22" x14ac:dyDescent="0.35">
      <c r="A160" s="2">
        <v>45775</v>
      </c>
      <c r="B160" t="s">
        <v>37</v>
      </c>
      <c r="C160" s="5" t="s">
        <v>239</v>
      </c>
      <c r="F160" t="s">
        <v>240</v>
      </c>
      <c r="G160" t="s">
        <v>50</v>
      </c>
      <c r="H160" t="s">
        <v>106</v>
      </c>
      <c r="I160">
        <v>29000</v>
      </c>
      <c r="J160" s="8">
        <v>-0.06</v>
      </c>
      <c r="K160">
        <v>30</v>
      </c>
      <c r="M160">
        <f t="shared" si="8"/>
        <v>0</v>
      </c>
      <c r="N160" t="s">
        <v>65</v>
      </c>
      <c r="O160" t="s">
        <v>35</v>
      </c>
      <c r="P160">
        <v>29000</v>
      </c>
      <c r="R160" s="9">
        <v>-0.06</v>
      </c>
      <c r="S160">
        <v>30</v>
      </c>
      <c r="T160" s="11">
        <f t="shared" si="9"/>
        <v>0</v>
      </c>
      <c r="U160" s="11">
        <f t="shared" si="10"/>
        <v>0</v>
      </c>
      <c r="V160" s="11">
        <f t="shared" si="11"/>
        <v>0</v>
      </c>
    </row>
    <row r="161" spans="1:22" x14ac:dyDescent="0.35">
      <c r="A161" s="2">
        <v>45777</v>
      </c>
      <c r="B161" t="s">
        <v>145</v>
      </c>
      <c r="C161" s="5" t="s">
        <v>220</v>
      </c>
      <c r="F161" t="s">
        <v>206</v>
      </c>
      <c r="G161" t="s">
        <v>33</v>
      </c>
      <c r="H161" t="s">
        <v>241</v>
      </c>
      <c r="I161">
        <v>56000</v>
      </c>
      <c r="J161" s="8">
        <v>-0.06</v>
      </c>
      <c r="K161">
        <v>30</v>
      </c>
      <c r="M161">
        <f t="shared" si="8"/>
        <v>0</v>
      </c>
      <c r="N161" t="s">
        <v>65</v>
      </c>
      <c r="O161" t="s">
        <v>35</v>
      </c>
      <c r="P161">
        <v>56000</v>
      </c>
      <c r="R161" s="9">
        <v>-0.06</v>
      </c>
      <c r="S161">
        <v>30</v>
      </c>
      <c r="T161" s="11">
        <f t="shared" si="9"/>
        <v>0</v>
      </c>
      <c r="U161" s="11">
        <f t="shared" si="10"/>
        <v>0</v>
      </c>
      <c r="V161" s="11">
        <f t="shared" si="11"/>
        <v>0</v>
      </c>
    </row>
    <row r="162" spans="1:22" x14ac:dyDescent="0.35">
      <c r="A162" s="2">
        <v>45777</v>
      </c>
      <c r="B162" t="s">
        <v>145</v>
      </c>
      <c r="C162" s="5" t="s">
        <v>220</v>
      </c>
      <c r="F162" t="s">
        <v>206</v>
      </c>
      <c r="G162" t="s">
        <v>33</v>
      </c>
      <c r="H162" t="s">
        <v>189</v>
      </c>
      <c r="I162">
        <v>55500</v>
      </c>
      <c r="J162" s="8">
        <v>-0.06</v>
      </c>
      <c r="K162">
        <v>30</v>
      </c>
      <c r="M162">
        <f t="shared" si="8"/>
        <v>0</v>
      </c>
      <c r="N162" t="s">
        <v>28</v>
      </c>
      <c r="O162" t="s">
        <v>35</v>
      </c>
      <c r="P162">
        <v>55500</v>
      </c>
      <c r="R162" s="9">
        <v>-0.06</v>
      </c>
      <c r="S162">
        <v>30</v>
      </c>
      <c r="T162" s="11">
        <f t="shared" si="9"/>
        <v>0</v>
      </c>
      <c r="U162" s="11">
        <f t="shared" si="10"/>
        <v>0</v>
      </c>
      <c r="V162" s="11">
        <f t="shared" si="11"/>
        <v>0</v>
      </c>
    </row>
    <row r="163" spans="1:22" x14ac:dyDescent="0.35">
      <c r="A163" s="2">
        <v>45777</v>
      </c>
      <c r="B163" t="s">
        <v>145</v>
      </c>
      <c r="C163" s="5" t="s">
        <v>220</v>
      </c>
      <c r="F163" t="s">
        <v>206</v>
      </c>
      <c r="G163" t="s">
        <v>33</v>
      </c>
      <c r="H163" t="s">
        <v>189</v>
      </c>
      <c r="I163">
        <v>50500</v>
      </c>
      <c r="J163" s="8">
        <v>-0.06</v>
      </c>
      <c r="K163">
        <v>30</v>
      </c>
      <c r="M163">
        <f t="shared" si="8"/>
        <v>0</v>
      </c>
      <c r="N163" t="s">
        <v>28</v>
      </c>
      <c r="O163" t="s">
        <v>35</v>
      </c>
      <c r="P163">
        <v>50500</v>
      </c>
      <c r="R163" s="9">
        <v>-0.06</v>
      </c>
      <c r="S163">
        <v>30</v>
      </c>
      <c r="T163" s="11">
        <f t="shared" si="9"/>
        <v>0</v>
      </c>
      <c r="U163" s="11">
        <f t="shared" si="10"/>
        <v>0</v>
      </c>
      <c r="V163" s="11">
        <f t="shared" si="11"/>
        <v>0</v>
      </c>
    </row>
    <row r="164" spans="1:22" x14ac:dyDescent="0.35">
      <c r="A164" s="2">
        <v>45777</v>
      </c>
      <c r="B164" t="s">
        <v>145</v>
      </c>
      <c r="C164" s="5" t="s">
        <v>220</v>
      </c>
      <c r="F164" t="s">
        <v>206</v>
      </c>
      <c r="G164" t="s">
        <v>33</v>
      </c>
      <c r="H164" t="s">
        <v>106</v>
      </c>
      <c r="I164">
        <v>56000</v>
      </c>
      <c r="J164" s="8">
        <v>-0.06</v>
      </c>
      <c r="K164">
        <v>30</v>
      </c>
      <c r="M164">
        <f t="shared" si="8"/>
        <v>0</v>
      </c>
      <c r="N164" t="s">
        <v>65</v>
      </c>
      <c r="O164" t="s">
        <v>35</v>
      </c>
      <c r="P164">
        <v>56000</v>
      </c>
      <c r="R164" s="9">
        <v>-0.06</v>
      </c>
      <c r="S164">
        <v>30</v>
      </c>
      <c r="T164" s="11">
        <f t="shared" si="9"/>
        <v>0</v>
      </c>
      <c r="U164" s="11">
        <f t="shared" si="10"/>
        <v>0</v>
      </c>
      <c r="V164" s="11">
        <f t="shared" si="11"/>
        <v>0</v>
      </c>
    </row>
    <row r="165" spans="1:22" x14ac:dyDescent="0.35">
      <c r="A165" s="2">
        <v>45838</v>
      </c>
      <c r="B165" t="s">
        <v>145</v>
      </c>
      <c r="C165" s="5" t="s">
        <v>220</v>
      </c>
      <c r="F165" t="s">
        <v>206</v>
      </c>
      <c r="G165" t="s">
        <v>33</v>
      </c>
      <c r="H165" t="s">
        <v>161</v>
      </c>
      <c r="I165">
        <v>56000</v>
      </c>
      <c r="J165" s="8">
        <v>-0.06</v>
      </c>
      <c r="K165">
        <v>30</v>
      </c>
      <c r="M165">
        <f t="shared" si="8"/>
        <v>0</v>
      </c>
      <c r="N165" t="s">
        <v>28</v>
      </c>
      <c r="O165" t="s">
        <v>35</v>
      </c>
      <c r="P165">
        <v>56000</v>
      </c>
      <c r="R165" s="9">
        <v>-0.06</v>
      </c>
      <c r="S165">
        <v>30</v>
      </c>
      <c r="T165" s="11">
        <f t="shared" si="9"/>
        <v>0</v>
      </c>
      <c r="U165" s="11">
        <f t="shared" si="10"/>
        <v>0</v>
      </c>
      <c r="V165" s="11">
        <f t="shared" si="11"/>
        <v>0</v>
      </c>
    </row>
    <row r="166" spans="1:22" x14ac:dyDescent="0.35">
      <c r="A166" s="2">
        <v>45792</v>
      </c>
      <c r="B166" t="s">
        <v>86</v>
      </c>
      <c r="C166" s="5" t="s">
        <v>205</v>
      </c>
      <c r="F166" t="s">
        <v>206</v>
      </c>
      <c r="G166" t="s">
        <v>33</v>
      </c>
      <c r="H166" t="s">
        <v>195</v>
      </c>
      <c r="I166">
        <v>40000</v>
      </c>
      <c r="J166" s="8">
        <v>-0.06</v>
      </c>
      <c r="K166">
        <v>30</v>
      </c>
      <c r="M166">
        <f t="shared" si="8"/>
        <v>0</v>
      </c>
      <c r="N166" t="s">
        <v>28</v>
      </c>
      <c r="O166" t="s">
        <v>35</v>
      </c>
      <c r="P166">
        <v>40000</v>
      </c>
      <c r="R166" s="9">
        <v>-0.06</v>
      </c>
      <c r="S166">
        <v>30</v>
      </c>
      <c r="T166" s="11">
        <f t="shared" si="9"/>
        <v>0</v>
      </c>
      <c r="U166" s="11">
        <f t="shared" si="10"/>
        <v>0</v>
      </c>
      <c r="V166" s="11">
        <f t="shared" si="11"/>
        <v>0</v>
      </c>
    </row>
    <row r="167" spans="1:22" x14ac:dyDescent="0.35">
      <c r="A167" s="2">
        <v>45792</v>
      </c>
      <c r="B167" t="s">
        <v>54</v>
      </c>
      <c r="C167" s="5" t="s">
        <v>205</v>
      </c>
      <c r="F167" t="s">
        <v>206</v>
      </c>
      <c r="G167" t="s">
        <v>33</v>
      </c>
      <c r="H167" t="s">
        <v>195</v>
      </c>
      <c r="I167">
        <v>37000</v>
      </c>
      <c r="J167" s="8">
        <v>-0.06</v>
      </c>
      <c r="K167">
        <v>30</v>
      </c>
      <c r="M167">
        <f t="shared" si="8"/>
        <v>0</v>
      </c>
      <c r="N167" t="s">
        <v>28</v>
      </c>
      <c r="O167" t="s">
        <v>35</v>
      </c>
      <c r="P167">
        <v>37000</v>
      </c>
      <c r="R167" s="9">
        <v>-0.06</v>
      </c>
      <c r="S167">
        <v>30</v>
      </c>
      <c r="T167" s="11">
        <f t="shared" si="9"/>
        <v>0</v>
      </c>
      <c r="U167" s="11">
        <f t="shared" si="10"/>
        <v>0</v>
      </c>
      <c r="V167" s="11">
        <f t="shared" si="11"/>
        <v>0</v>
      </c>
    </row>
    <row r="168" spans="1:22" x14ac:dyDescent="0.35">
      <c r="A168" s="2">
        <v>45796</v>
      </c>
      <c r="B168" t="s">
        <v>23</v>
      </c>
      <c r="C168" s="5" t="s">
        <v>220</v>
      </c>
      <c r="F168" t="s">
        <v>206</v>
      </c>
      <c r="G168" t="s">
        <v>33</v>
      </c>
      <c r="H168" t="s">
        <v>57</v>
      </c>
      <c r="I168">
        <v>52000</v>
      </c>
      <c r="J168" s="8">
        <v>-0.06</v>
      </c>
      <c r="K168">
        <v>30</v>
      </c>
      <c r="M168">
        <f t="shared" si="8"/>
        <v>0</v>
      </c>
      <c r="N168" t="s">
        <v>28</v>
      </c>
      <c r="O168" t="s">
        <v>35</v>
      </c>
      <c r="P168">
        <v>52000</v>
      </c>
      <c r="R168" s="9">
        <v>-0.06</v>
      </c>
      <c r="S168">
        <v>30</v>
      </c>
      <c r="T168" s="11">
        <f t="shared" si="9"/>
        <v>0</v>
      </c>
      <c r="U168" s="11">
        <f t="shared" si="10"/>
        <v>0</v>
      </c>
      <c r="V168" s="11">
        <f t="shared" si="11"/>
        <v>0</v>
      </c>
    </row>
    <row r="169" spans="1:22" x14ac:dyDescent="0.35">
      <c r="A169" s="2">
        <v>45796</v>
      </c>
      <c r="B169" t="s">
        <v>242</v>
      </c>
      <c r="C169" s="5" t="s">
        <v>205</v>
      </c>
      <c r="F169" t="s">
        <v>206</v>
      </c>
      <c r="G169" t="s">
        <v>33</v>
      </c>
      <c r="H169" t="s">
        <v>57</v>
      </c>
      <c r="I169">
        <v>42000</v>
      </c>
      <c r="J169" s="8">
        <v>-0.06</v>
      </c>
      <c r="K169">
        <v>30</v>
      </c>
      <c r="M169">
        <f t="shared" si="8"/>
        <v>0</v>
      </c>
      <c r="N169" t="s">
        <v>28</v>
      </c>
      <c r="O169" t="s">
        <v>35</v>
      </c>
      <c r="P169">
        <v>42000</v>
      </c>
      <c r="R169" s="9">
        <v>-0.06</v>
      </c>
      <c r="S169">
        <v>30</v>
      </c>
      <c r="T169" s="11">
        <f t="shared" si="9"/>
        <v>0</v>
      </c>
      <c r="U169" s="11">
        <f t="shared" si="10"/>
        <v>0</v>
      </c>
      <c r="V169" s="11">
        <f t="shared" si="11"/>
        <v>0</v>
      </c>
    </row>
    <row r="170" spans="1:22" x14ac:dyDescent="0.35">
      <c r="A170" s="2">
        <v>45796</v>
      </c>
      <c r="B170" t="s">
        <v>242</v>
      </c>
      <c r="C170" s="5" t="s">
        <v>243</v>
      </c>
      <c r="F170" t="s">
        <v>206</v>
      </c>
      <c r="G170" t="s">
        <v>33</v>
      </c>
      <c r="H170" t="s">
        <v>244</v>
      </c>
      <c r="I170">
        <v>72000</v>
      </c>
      <c r="J170" s="8">
        <v>-0.06</v>
      </c>
      <c r="K170">
        <v>30</v>
      </c>
      <c r="M170">
        <f t="shared" si="8"/>
        <v>0</v>
      </c>
      <c r="N170" t="s">
        <v>28</v>
      </c>
      <c r="O170" t="s">
        <v>35</v>
      </c>
      <c r="P170">
        <v>72000</v>
      </c>
      <c r="R170" s="9">
        <v>-0.06</v>
      </c>
      <c r="S170">
        <v>30</v>
      </c>
      <c r="T170" s="11">
        <f t="shared" si="9"/>
        <v>0</v>
      </c>
      <c r="U170" s="11">
        <f t="shared" si="10"/>
        <v>0</v>
      </c>
      <c r="V170" s="11">
        <f t="shared" si="11"/>
        <v>0</v>
      </c>
    </row>
    <row r="171" spans="1:22" x14ac:dyDescent="0.35">
      <c r="A171" s="2">
        <v>45796</v>
      </c>
      <c r="B171" t="s">
        <v>145</v>
      </c>
      <c r="C171" s="5" t="s">
        <v>245</v>
      </c>
      <c r="F171" t="s">
        <v>206</v>
      </c>
      <c r="G171" t="s">
        <v>33</v>
      </c>
      <c r="H171" t="s">
        <v>241</v>
      </c>
      <c r="I171">
        <v>74000</v>
      </c>
      <c r="J171" s="8">
        <v>-0.06</v>
      </c>
      <c r="K171">
        <v>30</v>
      </c>
      <c r="M171">
        <f t="shared" si="8"/>
        <v>0</v>
      </c>
      <c r="N171" t="s">
        <v>65</v>
      </c>
      <c r="O171" t="s">
        <v>35</v>
      </c>
      <c r="P171">
        <v>74000</v>
      </c>
      <c r="R171" s="9">
        <v>-0.06</v>
      </c>
      <c r="S171">
        <v>30</v>
      </c>
      <c r="T171" s="11">
        <f t="shared" si="9"/>
        <v>0</v>
      </c>
      <c r="U171" s="11">
        <f t="shared" si="10"/>
        <v>0</v>
      </c>
      <c r="V171" s="11">
        <f t="shared" si="11"/>
        <v>0</v>
      </c>
    </row>
    <row r="172" spans="1:22" x14ac:dyDescent="0.35">
      <c r="A172" s="2">
        <v>45796</v>
      </c>
      <c r="B172" t="s">
        <v>145</v>
      </c>
      <c r="C172" s="5" t="s">
        <v>220</v>
      </c>
      <c r="F172" t="s">
        <v>206</v>
      </c>
      <c r="G172" t="s">
        <v>33</v>
      </c>
      <c r="H172" t="s">
        <v>246</v>
      </c>
      <c r="I172">
        <v>54000</v>
      </c>
      <c r="J172" s="8">
        <v>-0.06</v>
      </c>
      <c r="K172">
        <v>30</v>
      </c>
      <c r="M172">
        <f t="shared" si="8"/>
        <v>0</v>
      </c>
      <c r="N172" t="s">
        <v>65</v>
      </c>
      <c r="O172" t="s">
        <v>35</v>
      </c>
      <c r="P172">
        <v>54000</v>
      </c>
      <c r="R172" s="9">
        <v>-0.06</v>
      </c>
      <c r="S172">
        <v>30</v>
      </c>
      <c r="T172" s="11">
        <f t="shared" si="9"/>
        <v>0</v>
      </c>
      <c r="U172" s="11">
        <f t="shared" si="10"/>
        <v>0</v>
      </c>
      <c r="V172" s="11">
        <f t="shared" si="11"/>
        <v>0</v>
      </c>
    </row>
    <row r="173" spans="1:22" x14ac:dyDescent="0.35">
      <c r="A173" s="2">
        <v>45796</v>
      </c>
      <c r="B173" t="s">
        <v>86</v>
      </c>
      <c r="C173" s="5" t="s">
        <v>205</v>
      </c>
      <c r="F173" t="s">
        <v>206</v>
      </c>
      <c r="G173" t="s">
        <v>33</v>
      </c>
      <c r="H173" t="s">
        <v>195</v>
      </c>
      <c r="I173">
        <v>50000</v>
      </c>
      <c r="J173" s="8">
        <v>-0.06</v>
      </c>
      <c r="K173">
        <v>30</v>
      </c>
      <c r="M173">
        <f t="shared" si="8"/>
        <v>0</v>
      </c>
      <c r="N173" t="s">
        <v>28</v>
      </c>
      <c r="O173" t="s">
        <v>35</v>
      </c>
      <c r="P173">
        <v>50000</v>
      </c>
      <c r="R173" s="9">
        <v>-0.06</v>
      </c>
      <c r="S173">
        <v>30</v>
      </c>
      <c r="T173" s="11">
        <f t="shared" si="9"/>
        <v>0</v>
      </c>
      <c r="U173" s="11">
        <f t="shared" si="10"/>
        <v>0</v>
      </c>
      <c r="V173" s="11">
        <f t="shared" si="11"/>
        <v>0</v>
      </c>
    </row>
    <row r="174" spans="1:22" x14ac:dyDescent="0.35">
      <c r="A174" s="2">
        <v>45796</v>
      </c>
      <c r="B174" t="s">
        <v>54</v>
      </c>
      <c r="C174" s="5" t="s">
        <v>243</v>
      </c>
      <c r="F174" t="s">
        <v>206</v>
      </c>
      <c r="G174" t="s">
        <v>33</v>
      </c>
      <c r="H174" t="s">
        <v>195</v>
      </c>
      <c r="I174">
        <v>65000</v>
      </c>
      <c r="J174" s="8">
        <v>-0.06</v>
      </c>
      <c r="K174">
        <v>30</v>
      </c>
      <c r="M174">
        <f t="shared" si="8"/>
        <v>0</v>
      </c>
      <c r="N174" t="s">
        <v>28</v>
      </c>
      <c r="O174" t="s">
        <v>35</v>
      </c>
      <c r="P174">
        <v>65000</v>
      </c>
      <c r="R174" s="9">
        <v>-0.06</v>
      </c>
      <c r="S174">
        <v>30</v>
      </c>
      <c r="T174" s="11">
        <f t="shared" si="9"/>
        <v>0</v>
      </c>
      <c r="U174" s="11">
        <f t="shared" si="10"/>
        <v>0</v>
      </c>
      <c r="V174" s="11">
        <f t="shared" si="11"/>
        <v>0</v>
      </c>
    </row>
    <row r="175" spans="1:22" x14ac:dyDescent="0.35">
      <c r="A175" s="2">
        <v>45796</v>
      </c>
      <c r="B175" t="s">
        <v>54</v>
      </c>
      <c r="C175" s="5" t="s">
        <v>247</v>
      </c>
      <c r="F175" t="s">
        <v>206</v>
      </c>
      <c r="G175" t="s">
        <v>33</v>
      </c>
      <c r="H175" t="s">
        <v>195</v>
      </c>
      <c r="I175">
        <v>65000</v>
      </c>
      <c r="J175" s="8">
        <v>-0.06</v>
      </c>
      <c r="K175">
        <v>30</v>
      </c>
      <c r="M175">
        <f t="shared" si="8"/>
        <v>0</v>
      </c>
      <c r="N175" t="s">
        <v>28</v>
      </c>
      <c r="O175" t="s">
        <v>35</v>
      </c>
      <c r="P175">
        <v>65000</v>
      </c>
      <c r="R175" s="9">
        <v>-0.06</v>
      </c>
      <c r="S175">
        <v>30</v>
      </c>
      <c r="T175" s="11">
        <f t="shared" si="9"/>
        <v>0</v>
      </c>
      <c r="U175" s="11">
        <f t="shared" si="10"/>
        <v>0</v>
      </c>
      <c r="V175" s="11">
        <f t="shared" si="11"/>
        <v>0</v>
      </c>
    </row>
    <row r="176" spans="1:22" x14ac:dyDescent="0.35">
      <c r="A176" s="2">
        <v>45804</v>
      </c>
      <c r="B176" t="s">
        <v>37</v>
      </c>
      <c r="C176" s="5" t="s">
        <v>120</v>
      </c>
      <c r="F176" t="s">
        <v>206</v>
      </c>
      <c r="G176" t="s">
        <v>33</v>
      </c>
      <c r="H176" t="s">
        <v>121</v>
      </c>
      <c r="I176">
        <v>29000</v>
      </c>
      <c r="J176" s="8">
        <v>-0.06</v>
      </c>
      <c r="K176">
        <v>30</v>
      </c>
      <c r="M176">
        <f t="shared" si="8"/>
        <v>0</v>
      </c>
      <c r="N176" t="s">
        <v>52</v>
      </c>
      <c r="O176" t="s">
        <v>35</v>
      </c>
      <c r="P176">
        <v>29000</v>
      </c>
      <c r="R176" s="9">
        <v>-0.06</v>
      </c>
      <c r="S176">
        <v>30</v>
      </c>
      <c r="T176" s="11">
        <f t="shared" si="9"/>
        <v>0</v>
      </c>
      <c r="U176" s="11">
        <f t="shared" si="10"/>
        <v>0</v>
      </c>
      <c r="V176" s="11">
        <f t="shared" si="11"/>
        <v>0</v>
      </c>
    </row>
    <row r="177" spans="1:22" x14ac:dyDescent="0.35">
      <c r="A177" s="2">
        <v>45805</v>
      </c>
      <c r="B177" t="s">
        <v>23</v>
      </c>
      <c r="C177" s="5" t="s">
        <v>220</v>
      </c>
      <c r="F177" t="s">
        <v>206</v>
      </c>
      <c r="G177" t="s">
        <v>33</v>
      </c>
      <c r="H177" t="s">
        <v>207</v>
      </c>
      <c r="I177">
        <v>51000</v>
      </c>
      <c r="J177" s="8">
        <v>-0.06</v>
      </c>
      <c r="K177">
        <v>30</v>
      </c>
      <c r="M177">
        <f t="shared" si="8"/>
        <v>0</v>
      </c>
      <c r="O177" t="s">
        <v>35</v>
      </c>
      <c r="P177">
        <v>51000</v>
      </c>
      <c r="R177" s="9">
        <v>-0.06</v>
      </c>
      <c r="S177">
        <v>30</v>
      </c>
      <c r="T177" s="11">
        <f t="shared" si="9"/>
        <v>0</v>
      </c>
      <c r="U177" s="11">
        <f t="shared" si="10"/>
        <v>0</v>
      </c>
      <c r="V177" s="11">
        <f t="shared" si="11"/>
        <v>0</v>
      </c>
    </row>
    <row r="178" spans="1:22" x14ac:dyDescent="0.35">
      <c r="A178" s="2">
        <v>45805</v>
      </c>
      <c r="B178" t="s">
        <v>23</v>
      </c>
      <c r="C178" s="5" t="s">
        <v>248</v>
      </c>
      <c r="F178" t="s">
        <v>206</v>
      </c>
      <c r="G178" t="s">
        <v>33</v>
      </c>
      <c r="H178" t="s">
        <v>207</v>
      </c>
      <c r="I178">
        <v>55000</v>
      </c>
      <c r="J178" s="8">
        <v>-0.06</v>
      </c>
      <c r="K178">
        <v>30</v>
      </c>
      <c r="M178">
        <f t="shared" si="8"/>
        <v>0</v>
      </c>
      <c r="O178" t="s">
        <v>35</v>
      </c>
      <c r="P178">
        <v>55000</v>
      </c>
      <c r="R178" s="9">
        <v>-0.06</v>
      </c>
      <c r="S178">
        <v>30</v>
      </c>
      <c r="T178" s="11">
        <f t="shared" si="9"/>
        <v>0</v>
      </c>
      <c r="U178" s="11">
        <f t="shared" si="10"/>
        <v>0</v>
      </c>
      <c r="V178" s="11">
        <f t="shared" si="11"/>
        <v>0</v>
      </c>
    </row>
    <row r="179" spans="1:22" x14ac:dyDescent="0.35">
      <c r="A179" s="2">
        <v>45805</v>
      </c>
      <c r="B179" t="s">
        <v>23</v>
      </c>
      <c r="C179" s="5" t="s">
        <v>249</v>
      </c>
      <c r="F179" t="s">
        <v>206</v>
      </c>
      <c r="G179" t="s">
        <v>33</v>
      </c>
      <c r="H179" t="s">
        <v>57</v>
      </c>
      <c r="I179">
        <v>55000</v>
      </c>
      <c r="J179" s="8">
        <v>-0.06</v>
      </c>
      <c r="K179">
        <v>30</v>
      </c>
      <c r="M179">
        <f t="shared" si="8"/>
        <v>0</v>
      </c>
      <c r="N179" t="s">
        <v>28</v>
      </c>
      <c r="O179" t="s">
        <v>35</v>
      </c>
      <c r="P179">
        <v>55000</v>
      </c>
      <c r="R179" s="9">
        <v>-0.06</v>
      </c>
      <c r="S179">
        <v>30</v>
      </c>
      <c r="T179" s="11">
        <f t="shared" si="9"/>
        <v>0</v>
      </c>
      <c r="U179" s="11">
        <f t="shared" si="10"/>
        <v>0</v>
      </c>
      <c r="V179" s="11">
        <f t="shared" si="11"/>
        <v>0</v>
      </c>
    </row>
    <row r="180" spans="1:22" x14ac:dyDescent="0.35">
      <c r="A180" s="2">
        <v>45805</v>
      </c>
      <c r="B180" t="s">
        <v>23</v>
      </c>
      <c r="C180" s="5" t="s">
        <v>250</v>
      </c>
      <c r="F180" t="s">
        <v>206</v>
      </c>
      <c r="G180" t="s">
        <v>33</v>
      </c>
      <c r="H180" t="s">
        <v>251</v>
      </c>
      <c r="I180">
        <v>52000</v>
      </c>
      <c r="J180" s="8">
        <v>-0.06</v>
      </c>
      <c r="K180">
        <v>30</v>
      </c>
      <c r="M180">
        <f t="shared" si="8"/>
        <v>0</v>
      </c>
      <c r="O180" t="s">
        <v>35</v>
      </c>
      <c r="P180">
        <v>52000</v>
      </c>
      <c r="R180" s="9">
        <v>-0.06</v>
      </c>
      <c r="S180">
        <v>30</v>
      </c>
      <c r="T180" s="11">
        <f t="shared" si="9"/>
        <v>0</v>
      </c>
      <c r="U180" s="11">
        <f t="shared" si="10"/>
        <v>0</v>
      </c>
      <c r="V180" s="11">
        <f t="shared" si="11"/>
        <v>0</v>
      </c>
    </row>
    <row r="181" spans="1:22" x14ac:dyDescent="0.35">
      <c r="A181" s="2">
        <v>45806</v>
      </c>
      <c r="B181" t="s">
        <v>42</v>
      </c>
      <c r="D181" s="5" t="s">
        <v>231</v>
      </c>
      <c r="F181" t="s">
        <v>240</v>
      </c>
      <c r="G181" t="s">
        <v>44</v>
      </c>
      <c r="H181" t="s">
        <v>252</v>
      </c>
      <c r="I181">
        <v>66000</v>
      </c>
      <c r="J181" s="8">
        <v>-0.06</v>
      </c>
      <c r="K181">
        <v>30</v>
      </c>
      <c r="M181">
        <f t="shared" si="8"/>
        <v>0</v>
      </c>
      <c r="N181" t="s">
        <v>28</v>
      </c>
      <c r="O181" t="s">
        <v>80</v>
      </c>
      <c r="P181">
        <v>66000</v>
      </c>
      <c r="R181" s="9">
        <v>-0.06</v>
      </c>
      <c r="S181">
        <v>30</v>
      </c>
      <c r="T181" s="11">
        <f t="shared" si="9"/>
        <v>0</v>
      </c>
      <c r="U181" s="11">
        <f t="shared" si="10"/>
        <v>0</v>
      </c>
      <c r="V181" s="11">
        <f t="shared" si="11"/>
        <v>0</v>
      </c>
    </row>
    <row r="182" spans="1:22" x14ac:dyDescent="0.35">
      <c r="A182" s="2">
        <v>45807</v>
      </c>
      <c r="B182" t="s">
        <v>42</v>
      </c>
      <c r="D182" s="5" t="s">
        <v>104</v>
      </c>
      <c r="F182" t="s">
        <v>240</v>
      </c>
      <c r="G182" t="s">
        <v>44</v>
      </c>
      <c r="H182" t="s">
        <v>137</v>
      </c>
      <c r="I182">
        <v>42000</v>
      </c>
      <c r="J182" s="8">
        <v>-0.06</v>
      </c>
      <c r="K182">
        <v>30</v>
      </c>
      <c r="M182">
        <f t="shared" si="8"/>
        <v>0</v>
      </c>
      <c r="N182" t="s">
        <v>79</v>
      </c>
      <c r="O182" t="s">
        <v>80</v>
      </c>
      <c r="P182">
        <v>43000</v>
      </c>
      <c r="R182" s="9">
        <v>-0.06</v>
      </c>
      <c r="S182">
        <v>30</v>
      </c>
      <c r="T182" s="11">
        <f t="shared" si="9"/>
        <v>0</v>
      </c>
      <c r="U182" s="11">
        <f t="shared" si="10"/>
        <v>0</v>
      </c>
      <c r="V182" s="11">
        <f t="shared" si="11"/>
        <v>0</v>
      </c>
    </row>
    <row r="183" spans="1:22" x14ac:dyDescent="0.35">
      <c r="A183" s="2">
        <v>45807</v>
      </c>
      <c r="B183" t="s">
        <v>42</v>
      </c>
      <c r="D183" s="5" t="s">
        <v>253</v>
      </c>
      <c r="F183" t="s">
        <v>240</v>
      </c>
      <c r="G183" t="s">
        <v>44</v>
      </c>
      <c r="H183" t="s">
        <v>137</v>
      </c>
      <c r="I183">
        <v>39000</v>
      </c>
      <c r="J183" s="8">
        <v>-0.06</v>
      </c>
      <c r="K183">
        <v>30</v>
      </c>
      <c r="M183">
        <f t="shared" si="8"/>
        <v>0</v>
      </c>
      <c r="N183" t="s">
        <v>79</v>
      </c>
      <c r="O183" t="s">
        <v>80</v>
      </c>
      <c r="P183">
        <v>41000</v>
      </c>
      <c r="R183" s="9">
        <v>-0.06</v>
      </c>
      <c r="S183">
        <v>30</v>
      </c>
      <c r="T183" s="11">
        <f t="shared" si="9"/>
        <v>0</v>
      </c>
      <c r="U183" s="11">
        <f t="shared" si="10"/>
        <v>0</v>
      </c>
      <c r="V183" s="11">
        <f t="shared" si="11"/>
        <v>0</v>
      </c>
    </row>
    <row r="184" spans="1:22" x14ac:dyDescent="0.35">
      <c r="A184" s="2">
        <v>45813</v>
      </c>
      <c r="B184" t="s">
        <v>37</v>
      </c>
      <c r="C184" s="5" t="s">
        <v>254</v>
      </c>
      <c r="F184" t="s">
        <v>206</v>
      </c>
      <c r="G184" t="s">
        <v>33</v>
      </c>
      <c r="H184" t="s">
        <v>255</v>
      </c>
      <c r="I184">
        <v>37000</v>
      </c>
      <c r="J184" s="8">
        <v>-0.06</v>
      </c>
      <c r="K184">
        <v>30</v>
      </c>
      <c r="M184">
        <f t="shared" si="8"/>
        <v>0</v>
      </c>
      <c r="O184" t="s">
        <v>35</v>
      </c>
      <c r="P184">
        <v>37000</v>
      </c>
      <c r="R184" s="9">
        <v>-0.06</v>
      </c>
      <c r="S184">
        <v>30</v>
      </c>
      <c r="T184" s="11">
        <f t="shared" si="9"/>
        <v>0</v>
      </c>
      <c r="U184" s="11">
        <f t="shared" si="10"/>
        <v>0</v>
      </c>
      <c r="V184" s="11">
        <f t="shared" si="11"/>
        <v>0</v>
      </c>
    </row>
    <row r="185" spans="1:22" x14ac:dyDescent="0.35">
      <c r="A185" s="2">
        <v>45813</v>
      </c>
      <c r="B185" t="s">
        <v>37</v>
      </c>
      <c r="C185" s="5" t="s">
        <v>239</v>
      </c>
      <c r="F185" t="s">
        <v>206</v>
      </c>
      <c r="G185" t="s">
        <v>33</v>
      </c>
      <c r="H185" t="s">
        <v>255</v>
      </c>
      <c r="I185">
        <v>32750</v>
      </c>
      <c r="J185" s="8">
        <v>-0.06</v>
      </c>
      <c r="K185">
        <v>30</v>
      </c>
      <c r="M185">
        <f t="shared" si="8"/>
        <v>0</v>
      </c>
      <c r="O185" t="s">
        <v>35</v>
      </c>
      <c r="P185">
        <v>32750</v>
      </c>
      <c r="R185" s="9">
        <v>-0.06</v>
      </c>
      <c r="S185">
        <v>30</v>
      </c>
      <c r="T185" s="11">
        <f t="shared" si="9"/>
        <v>0</v>
      </c>
      <c r="U185" s="11">
        <f t="shared" si="10"/>
        <v>0</v>
      </c>
      <c r="V185" s="11">
        <f t="shared" si="11"/>
        <v>0</v>
      </c>
    </row>
    <row r="186" spans="1:22" x14ac:dyDescent="0.35">
      <c r="A186" s="2">
        <v>45822</v>
      </c>
      <c r="B186" t="s">
        <v>42</v>
      </c>
      <c r="D186" s="5" t="s">
        <v>104</v>
      </c>
      <c r="F186" t="s">
        <v>206</v>
      </c>
      <c r="G186" t="s">
        <v>50</v>
      </c>
      <c r="H186" t="s">
        <v>256</v>
      </c>
      <c r="I186">
        <v>28000</v>
      </c>
      <c r="J186" s="8">
        <v>-0.06</v>
      </c>
      <c r="K186">
        <v>30</v>
      </c>
      <c r="M186">
        <f t="shared" si="8"/>
        <v>0</v>
      </c>
      <c r="N186" t="s">
        <v>27</v>
      </c>
      <c r="O186" t="s">
        <v>35</v>
      </c>
      <c r="P186">
        <v>28000</v>
      </c>
      <c r="R186" s="9">
        <v>-0.06</v>
      </c>
      <c r="S186">
        <v>30</v>
      </c>
      <c r="T186" s="11">
        <f t="shared" si="9"/>
        <v>0</v>
      </c>
      <c r="U186" s="11">
        <f t="shared" si="10"/>
        <v>0</v>
      </c>
      <c r="V186" s="11">
        <f t="shared" si="11"/>
        <v>0</v>
      </c>
    </row>
    <row r="187" spans="1:22" x14ac:dyDescent="0.35">
      <c r="A187" s="2">
        <v>45839</v>
      </c>
      <c r="B187" t="s">
        <v>42</v>
      </c>
      <c r="D187" s="5" t="s">
        <v>104</v>
      </c>
      <c r="F187" t="s">
        <v>72</v>
      </c>
      <c r="G187" t="s">
        <v>257</v>
      </c>
      <c r="H187" t="s">
        <v>61</v>
      </c>
      <c r="I187">
        <v>13700</v>
      </c>
      <c r="J187" s="8">
        <v>-0.06</v>
      </c>
      <c r="K187">
        <v>30</v>
      </c>
      <c r="M187">
        <f t="shared" si="8"/>
        <v>0</v>
      </c>
      <c r="N187" t="s">
        <v>52</v>
      </c>
      <c r="O187" t="s">
        <v>53</v>
      </c>
      <c r="P187">
        <v>13900</v>
      </c>
      <c r="R187" s="9">
        <v>0</v>
      </c>
      <c r="S187">
        <v>150</v>
      </c>
      <c r="T187" s="11">
        <f t="shared" si="9"/>
        <v>0</v>
      </c>
      <c r="U187" s="11">
        <f t="shared" si="10"/>
        <v>0</v>
      </c>
      <c r="V187" s="11">
        <f t="shared" si="11"/>
        <v>0</v>
      </c>
    </row>
    <row r="188" spans="1:22" x14ac:dyDescent="0.35">
      <c r="A188" s="2">
        <v>45842</v>
      </c>
      <c r="B188" t="s">
        <v>40</v>
      </c>
      <c r="D188" s="5" t="s">
        <v>43</v>
      </c>
      <c r="F188" t="s">
        <v>178</v>
      </c>
      <c r="G188" t="s">
        <v>179</v>
      </c>
      <c r="H188" t="s">
        <v>180</v>
      </c>
      <c r="I188">
        <v>82000</v>
      </c>
      <c r="J188" s="8">
        <v>-0.04</v>
      </c>
      <c r="K188">
        <v>30</v>
      </c>
      <c r="M188">
        <f t="shared" si="8"/>
        <v>0</v>
      </c>
      <c r="N188" t="s">
        <v>28</v>
      </c>
      <c r="O188" t="s">
        <v>53</v>
      </c>
      <c r="P188">
        <v>83500</v>
      </c>
      <c r="R188" s="9">
        <v>0</v>
      </c>
      <c r="S188">
        <v>120</v>
      </c>
      <c r="T188" s="11">
        <f t="shared" si="9"/>
        <v>0</v>
      </c>
      <c r="U188" s="11">
        <f t="shared" si="10"/>
        <v>0</v>
      </c>
      <c r="V188" s="11">
        <f t="shared" si="11"/>
        <v>0</v>
      </c>
    </row>
    <row r="189" spans="1:22" x14ac:dyDescent="0.35">
      <c r="A189" s="2">
        <v>45845</v>
      </c>
      <c r="B189" t="s">
        <v>42</v>
      </c>
      <c r="D189" s="5" t="s">
        <v>104</v>
      </c>
      <c r="F189" t="s">
        <v>206</v>
      </c>
      <c r="G189" t="s">
        <v>50</v>
      </c>
      <c r="H189" t="s">
        <v>61</v>
      </c>
      <c r="I189">
        <v>28100</v>
      </c>
      <c r="J189" s="8">
        <v>-0.06</v>
      </c>
      <c r="K189">
        <v>30</v>
      </c>
      <c r="M189">
        <f t="shared" si="8"/>
        <v>0</v>
      </c>
      <c r="N189" t="s">
        <v>62</v>
      </c>
      <c r="O189" t="s">
        <v>35</v>
      </c>
      <c r="P189">
        <v>28100</v>
      </c>
      <c r="R189" s="9">
        <v>-0.06</v>
      </c>
      <c r="S189">
        <v>30</v>
      </c>
      <c r="T189" s="11">
        <f t="shared" si="9"/>
        <v>0</v>
      </c>
      <c r="U189" s="11">
        <f t="shared" si="10"/>
        <v>0</v>
      </c>
      <c r="V189" s="11">
        <f t="shared" si="11"/>
        <v>0</v>
      </c>
    </row>
    <row r="190" spans="1:22" x14ac:dyDescent="0.35">
      <c r="A190" s="2">
        <v>45847</v>
      </c>
      <c r="B190" t="s">
        <v>23</v>
      </c>
      <c r="C190" s="5" t="s">
        <v>258</v>
      </c>
      <c r="F190" t="s">
        <v>206</v>
      </c>
      <c r="G190" t="s">
        <v>33</v>
      </c>
      <c r="H190" t="s">
        <v>207</v>
      </c>
      <c r="I190">
        <v>38000</v>
      </c>
      <c r="J190" s="8">
        <v>-0.06</v>
      </c>
      <c r="K190">
        <v>30</v>
      </c>
      <c r="M190">
        <f t="shared" si="8"/>
        <v>0</v>
      </c>
      <c r="O190" t="s">
        <v>35</v>
      </c>
      <c r="P190">
        <v>38000</v>
      </c>
      <c r="R190" s="9">
        <v>-0.06</v>
      </c>
      <c r="S190">
        <v>30</v>
      </c>
      <c r="T190" s="11">
        <f t="shared" si="9"/>
        <v>0</v>
      </c>
      <c r="U190" s="11">
        <f t="shared" si="10"/>
        <v>0</v>
      </c>
      <c r="V190" s="11">
        <f t="shared" si="11"/>
        <v>0</v>
      </c>
    </row>
    <row r="191" spans="1:22" x14ac:dyDescent="0.35">
      <c r="A191" s="2">
        <v>45847</v>
      </c>
      <c r="B191" t="s">
        <v>145</v>
      </c>
      <c r="C191" s="5" t="s">
        <v>259</v>
      </c>
      <c r="F191" t="s">
        <v>206</v>
      </c>
      <c r="G191" t="s">
        <v>33</v>
      </c>
      <c r="H191" t="s">
        <v>260</v>
      </c>
      <c r="I191">
        <v>36500</v>
      </c>
      <c r="J191" s="8">
        <v>-0.06</v>
      </c>
      <c r="K191">
        <v>30</v>
      </c>
      <c r="M191">
        <f t="shared" si="8"/>
        <v>0</v>
      </c>
      <c r="O191" t="s">
        <v>35</v>
      </c>
      <c r="P191">
        <v>36500</v>
      </c>
      <c r="R191" s="9">
        <v>-0.06</v>
      </c>
      <c r="S191">
        <v>30</v>
      </c>
      <c r="T191" s="11">
        <f t="shared" si="9"/>
        <v>0</v>
      </c>
      <c r="U191" s="11">
        <f t="shared" si="10"/>
        <v>0</v>
      </c>
      <c r="V191" s="11">
        <f t="shared" si="11"/>
        <v>0</v>
      </c>
    </row>
    <row r="192" spans="1:22" x14ac:dyDescent="0.35">
      <c r="A192" s="2">
        <v>45847</v>
      </c>
      <c r="B192" t="s">
        <v>23</v>
      </c>
      <c r="C192" s="5" t="s">
        <v>259</v>
      </c>
      <c r="F192" t="s">
        <v>206</v>
      </c>
      <c r="G192" t="s">
        <v>33</v>
      </c>
      <c r="H192" t="s">
        <v>261</v>
      </c>
      <c r="I192">
        <v>37000</v>
      </c>
      <c r="J192" s="8">
        <v>-0.06</v>
      </c>
      <c r="K192">
        <v>30</v>
      </c>
      <c r="M192">
        <f t="shared" si="8"/>
        <v>0</v>
      </c>
      <c r="O192" t="s">
        <v>35</v>
      </c>
      <c r="P192">
        <v>37000</v>
      </c>
      <c r="R192" s="9">
        <v>-0.06</v>
      </c>
      <c r="S192">
        <v>30</v>
      </c>
      <c r="T192" s="11">
        <f t="shared" si="9"/>
        <v>0</v>
      </c>
      <c r="U192" s="11">
        <f t="shared" si="10"/>
        <v>0</v>
      </c>
      <c r="V192" s="11">
        <f t="shared" si="11"/>
        <v>0</v>
      </c>
    </row>
    <row r="193" spans="1:22" x14ac:dyDescent="0.35">
      <c r="A193" s="2">
        <v>45847</v>
      </c>
      <c r="B193" t="s">
        <v>54</v>
      </c>
      <c r="C193" s="5" t="s">
        <v>259</v>
      </c>
      <c r="F193" t="s">
        <v>206</v>
      </c>
      <c r="G193" t="s">
        <v>33</v>
      </c>
      <c r="H193" t="s">
        <v>261</v>
      </c>
      <c r="I193">
        <v>37000</v>
      </c>
      <c r="J193" s="8">
        <v>-0.06</v>
      </c>
      <c r="K193">
        <v>30</v>
      </c>
      <c r="M193">
        <f t="shared" si="8"/>
        <v>0</v>
      </c>
      <c r="O193" t="s">
        <v>35</v>
      </c>
      <c r="P193">
        <v>37000</v>
      </c>
      <c r="R193" s="9">
        <v>-0.06</v>
      </c>
      <c r="S193">
        <v>30</v>
      </c>
      <c r="T193" s="11">
        <f t="shared" si="9"/>
        <v>0</v>
      </c>
      <c r="U193" s="11">
        <f t="shared" si="10"/>
        <v>0</v>
      </c>
      <c r="V193" s="11">
        <f t="shared" si="11"/>
        <v>0</v>
      </c>
    </row>
    <row r="194" spans="1:22" x14ac:dyDescent="0.35">
      <c r="A194" s="2">
        <v>45847</v>
      </c>
      <c r="B194" t="s">
        <v>54</v>
      </c>
      <c r="C194" s="5" t="s">
        <v>259</v>
      </c>
      <c r="F194" t="s">
        <v>206</v>
      </c>
      <c r="G194" t="s">
        <v>33</v>
      </c>
      <c r="H194" t="s">
        <v>262</v>
      </c>
      <c r="I194">
        <v>38000</v>
      </c>
      <c r="J194" s="8">
        <v>-0.06</v>
      </c>
      <c r="K194">
        <v>30</v>
      </c>
      <c r="M194">
        <f t="shared" ref="M194:M257" si="12">((I194*J194)+I194)*L194</f>
        <v>0</v>
      </c>
      <c r="O194" t="s">
        <v>35</v>
      </c>
      <c r="P194">
        <v>38000</v>
      </c>
      <c r="R194" s="9">
        <v>-0.06</v>
      </c>
      <c r="S194">
        <v>30</v>
      </c>
      <c r="T194" s="11">
        <f t="shared" ref="T194:T257" si="13">((P194*R194)+P194)*L194</f>
        <v>0</v>
      </c>
      <c r="U194" s="11">
        <f t="shared" ref="U194:U257" si="14">T194-M194</f>
        <v>0</v>
      </c>
      <c r="V194" s="11">
        <f t="shared" ref="V194:V257" si="15">T194+Q194</f>
        <v>0</v>
      </c>
    </row>
    <row r="195" spans="1:22" x14ac:dyDescent="0.35">
      <c r="A195" s="2">
        <v>45848</v>
      </c>
      <c r="B195" t="s">
        <v>145</v>
      </c>
      <c r="C195" s="5" t="s">
        <v>263</v>
      </c>
      <c r="F195" t="s">
        <v>206</v>
      </c>
      <c r="G195" t="s">
        <v>33</v>
      </c>
      <c r="H195" t="s">
        <v>261</v>
      </c>
      <c r="I195">
        <v>46500</v>
      </c>
      <c r="J195" s="8">
        <v>-0.06</v>
      </c>
      <c r="K195">
        <v>30</v>
      </c>
      <c r="M195">
        <f t="shared" si="12"/>
        <v>0</v>
      </c>
      <c r="O195" t="s">
        <v>35</v>
      </c>
      <c r="P195">
        <v>46500</v>
      </c>
      <c r="R195" s="9">
        <v>-0.06</v>
      </c>
      <c r="S195">
        <v>30</v>
      </c>
      <c r="T195" s="11">
        <f t="shared" si="13"/>
        <v>0</v>
      </c>
      <c r="U195" s="11">
        <f t="shared" si="14"/>
        <v>0</v>
      </c>
      <c r="V195" s="11">
        <f t="shared" si="15"/>
        <v>0</v>
      </c>
    </row>
    <row r="196" spans="1:22" x14ac:dyDescent="0.35">
      <c r="A196" s="2">
        <v>45848</v>
      </c>
      <c r="B196" t="s">
        <v>145</v>
      </c>
      <c r="C196" s="5" t="s">
        <v>264</v>
      </c>
      <c r="F196" t="s">
        <v>206</v>
      </c>
      <c r="G196" t="s">
        <v>33</v>
      </c>
      <c r="H196" t="s">
        <v>207</v>
      </c>
      <c r="I196">
        <v>46000</v>
      </c>
      <c r="J196" s="8">
        <v>-0.06</v>
      </c>
      <c r="K196">
        <v>30</v>
      </c>
      <c r="M196">
        <f t="shared" si="12"/>
        <v>0</v>
      </c>
      <c r="O196" t="s">
        <v>35</v>
      </c>
      <c r="P196">
        <v>46000</v>
      </c>
      <c r="R196" s="9">
        <v>-0.06</v>
      </c>
      <c r="S196">
        <v>30</v>
      </c>
      <c r="T196" s="11">
        <f t="shared" si="13"/>
        <v>0</v>
      </c>
      <c r="U196" s="11">
        <f t="shared" si="14"/>
        <v>0</v>
      </c>
      <c r="V196" s="11">
        <f t="shared" si="15"/>
        <v>0</v>
      </c>
    </row>
    <row r="197" spans="1:22" x14ac:dyDescent="0.35">
      <c r="A197" s="2">
        <v>45848</v>
      </c>
      <c r="B197" t="s">
        <v>145</v>
      </c>
      <c r="C197" s="5" t="s">
        <v>265</v>
      </c>
      <c r="F197" t="s">
        <v>206</v>
      </c>
      <c r="G197" t="s">
        <v>33</v>
      </c>
      <c r="H197" t="s">
        <v>262</v>
      </c>
      <c r="I197">
        <v>46000</v>
      </c>
      <c r="J197" s="8">
        <v>-0.06</v>
      </c>
      <c r="K197">
        <v>30</v>
      </c>
      <c r="M197">
        <f t="shared" si="12"/>
        <v>0</v>
      </c>
      <c r="O197" t="s">
        <v>35</v>
      </c>
      <c r="P197">
        <v>46000</v>
      </c>
      <c r="R197" s="9">
        <v>-0.06</v>
      </c>
      <c r="S197">
        <v>30</v>
      </c>
      <c r="T197" s="11">
        <f t="shared" si="13"/>
        <v>0</v>
      </c>
      <c r="U197" s="11">
        <f t="shared" si="14"/>
        <v>0</v>
      </c>
      <c r="V197" s="11">
        <f t="shared" si="15"/>
        <v>0</v>
      </c>
    </row>
    <row r="198" spans="1:22" x14ac:dyDescent="0.35">
      <c r="A198" s="2">
        <v>45848</v>
      </c>
      <c r="B198" t="s">
        <v>145</v>
      </c>
      <c r="C198" s="5" t="s">
        <v>266</v>
      </c>
      <c r="F198" t="s">
        <v>206</v>
      </c>
      <c r="G198" t="s">
        <v>33</v>
      </c>
      <c r="H198" t="s">
        <v>189</v>
      </c>
      <c r="I198">
        <v>46000</v>
      </c>
      <c r="J198" s="8">
        <v>-0.06</v>
      </c>
      <c r="K198">
        <v>30</v>
      </c>
      <c r="M198">
        <f t="shared" si="12"/>
        <v>0</v>
      </c>
      <c r="N198" t="s">
        <v>28</v>
      </c>
      <c r="O198" t="s">
        <v>35</v>
      </c>
      <c r="P198">
        <v>46000</v>
      </c>
      <c r="R198" s="9">
        <v>-0.06</v>
      </c>
      <c r="S198">
        <v>30</v>
      </c>
      <c r="T198" s="11">
        <f t="shared" si="13"/>
        <v>0</v>
      </c>
      <c r="U198" s="11">
        <f t="shared" si="14"/>
        <v>0</v>
      </c>
      <c r="V198" s="11">
        <f t="shared" si="15"/>
        <v>0</v>
      </c>
    </row>
    <row r="199" spans="1:22" x14ac:dyDescent="0.35">
      <c r="A199" s="2">
        <v>45848</v>
      </c>
      <c r="B199" t="s">
        <v>145</v>
      </c>
      <c r="C199" s="5" t="s">
        <v>267</v>
      </c>
      <c r="F199" t="s">
        <v>206</v>
      </c>
      <c r="G199" t="s">
        <v>33</v>
      </c>
      <c r="H199" t="s">
        <v>268</v>
      </c>
      <c r="I199">
        <v>46500</v>
      </c>
      <c r="J199" s="8">
        <v>-0.06</v>
      </c>
      <c r="K199">
        <v>30</v>
      </c>
      <c r="M199">
        <f t="shared" si="12"/>
        <v>0</v>
      </c>
      <c r="O199" t="s">
        <v>35</v>
      </c>
      <c r="P199">
        <v>46500</v>
      </c>
      <c r="R199" s="9">
        <v>-0.06</v>
      </c>
      <c r="S199">
        <v>30</v>
      </c>
      <c r="T199" s="11">
        <f t="shared" si="13"/>
        <v>0</v>
      </c>
      <c r="U199" s="11">
        <f t="shared" si="14"/>
        <v>0</v>
      </c>
      <c r="V199" s="11">
        <f t="shared" si="15"/>
        <v>0</v>
      </c>
    </row>
    <row r="200" spans="1:22" x14ac:dyDescent="0.35">
      <c r="A200" s="2">
        <v>45854</v>
      </c>
      <c r="B200" t="s">
        <v>42</v>
      </c>
      <c r="D200" s="5" t="s">
        <v>104</v>
      </c>
      <c r="F200" t="s">
        <v>206</v>
      </c>
      <c r="G200" t="s">
        <v>50</v>
      </c>
      <c r="H200" t="s">
        <v>269</v>
      </c>
      <c r="I200">
        <v>28500</v>
      </c>
      <c r="J200" s="8">
        <v>-0.06</v>
      </c>
      <c r="K200">
        <v>30</v>
      </c>
      <c r="M200">
        <f t="shared" si="12"/>
        <v>0</v>
      </c>
      <c r="N200" t="s">
        <v>270</v>
      </c>
      <c r="O200" t="s">
        <v>35</v>
      </c>
      <c r="P200">
        <v>28500</v>
      </c>
      <c r="R200" s="9">
        <v>-0.06</v>
      </c>
      <c r="S200">
        <v>30</v>
      </c>
      <c r="T200" s="11">
        <f t="shared" si="13"/>
        <v>0</v>
      </c>
      <c r="U200" s="11">
        <f t="shared" si="14"/>
        <v>0</v>
      </c>
      <c r="V200" s="11">
        <f t="shared" si="15"/>
        <v>0</v>
      </c>
    </row>
    <row r="201" spans="1:22" x14ac:dyDescent="0.35">
      <c r="A201" s="2">
        <v>45859</v>
      </c>
      <c r="B201" t="s">
        <v>42</v>
      </c>
      <c r="D201" s="5" t="s">
        <v>271</v>
      </c>
      <c r="F201" t="s">
        <v>206</v>
      </c>
      <c r="G201" t="s">
        <v>33</v>
      </c>
      <c r="H201" t="s">
        <v>137</v>
      </c>
      <c r="I201">
        <v>30900</v>
      </c>
      <c r="J201" s="8">
        <v>-0.06</v>
      </c>
      <c r="K201">
        <v>30</v>
      </c>
      <c r="M201">
        <f t="shared" si="12"/>
        <v>0</v>
      </c>
      <c r="N201" t="s">
        <v>79</v>
      </c>
      <c r="O201" t="s">
        <v>35</v>
      </c>
      <c r="P201">
        <v>30900</v>
      </c>
      <c r="R201" s="9">
        <v>-0.06</v>
      </c>
      <c r="S201">
        <v>30</v>
      </c>
      <c r="T201" s="11">
        <f t="shared" si="13"/>
        <v>0</v>
      </c>
      <c r="U201" s="11">
        <f t="shared" si="14"/>
        <v>0</v>
      </c>
      <c r="V201" s="11">
        <f t="shared" si="15"/>
        <v>0</v>
      </c>
    </row>
    <row r="202" spans="1:22" x14ac:dyDescent="0.35">
      <c r="A202" s="2">
        <v>45857</v>
      </c>
      <c r="B202" t="s">
        <v>42</v>
      </c>
      <c r="E202" s="5" t="s">
        <v>192</v>
      </c>
      <c r="F202" t="s">
        <v>206</v>
      </c>
      <c r="G202" t="s">
        <v>50</v>
      </c>
      <c r="H202" t="s">
        <v>272</v>
      </c>
      <c r="I202">
        <v>80000</v>
      </c>
      <c r="J202" s="8">
        <v>-0.04</v>
      </c>
      <c r="K202">
        <v>30</v>
      </c>
      <c r="M202">
        <f t="shared" si="12"/>
        <v>0</v>
      </c>
      <c r="N202" t="s">
        <v>52</v>
      </c>
      <c r="O202" t="s">
        <v>53</v>
      </c>
      <c r="P202">
        <v>80000</v>
      </c>
      <c r="R202" s="9">
        <v>-0.02</v>
      </c>
      <c r="S202">
        <v>30</v>
      </c>
      <c r="T202" s="11">
        <f t="shared" si="13"/>
        <v>0</v>
      </c>
      <c r="U202" s="11">
        <f t="shared" si="14"/>
        <v>0</v>
      </c>
      <c r="V202" s="11">
        <f t="shared" si="15"/>
        <v>0</v>
      </c>
    </row>
    <row r="203" spans="1:22" x14ac:dyDescent="0.35">
      <c r="A203" s="2">
        <v>45860</v>
      </c>
      <c r="B203" t="s">
        <v>145</v>
      </c>
      <c r="C203" s="5" t="s">
        <v>273</v>
      </c>
      <c r="F203" t="s">
        <v>206</v>
      </c>
      <c r="G203" t="s">
        <v>33</v>
      </c>
      <c r="H203" t="s">
        <v>180</v>
      </c>
      <c r="I203">
        <v>38000</v>
      </c>
      <c r="J203" s="8">
        <v>-0.06</v>
      </c>
      <c r="K203">
        <v>30</v>
      </c>
      <c r="M203">
        <f t="shared" si="12"/>
        <v>0</v>
      </c>
      <c r="N203" t="s">
        <v>65</v>
      </c>
      <c r="O203" t="s">
        <v>35</v>
      </c>
      <c r="P203">
        <v>38000</v>
      </c>
      <c r="R203" s="9">
        <v>-0.06</v>
      </c>
      <c r="S203">
        <v>30</v>
      </c>
      <c r="T203" s="11">
        <f t="shared" si="13"/>
        <v>0</v>
      </c>
      <c r="U203" s="11">
        <f t="shared" si="14"/>
        <v>0</v>
      </c>
      <c r="V203" s="11">
        <f t="shared" si="15"/>
        <v>0</v>
      </c>
    </row>
    <row r="204" spans="1:22" x14ac:dyDescent="0.35">
      <c r="A204" s="2">
        <v>45860</v>
      </c>
      <c r="B204" t="s">
        <v>145</v>
      </c>
      <c r="C204" s="5" t="s">
        <v>274</v>
      </c>
      <c r="F204" t="s">
        <v>206</v>
      </c>
      <c r="G204" t="s">
        <v>33</v>
      </c>
      <c r="H204" t="s">
        <v>65</v>
      </c>
      <c r="I204">
        <v>38000</v>
      </c>
      <c r="J204" s="8">
        <v>-0.06</v>
      </c>
      <c r="K204">
        <v>30</v>
      </c>
      <c r="M204">
        <f t="shared" si="12"/>
        <v>0</v>
      </c>
      <c r="N204" t="s">
        <v>65</v>
      </c>
      <c r="O204" t="s">
        <v>35</v>
      </c>
      <c r="P204">
        <v>38000</v>
      </c>
      <c r="R204" s="9">
        <v>-0.06</v>
      </c>
      <c r="S204">
        <v>30</v>
      </c>
      <c r="T204" s="11">
        <f t="shared" si="13"/>
        <v>0</v>
      </c>
      <c r="U204" s="11">
        <f t="shared" si="14"/>
        <v>0</v>
      </c>
      <c r="V204" s="11">
        <f t="shared" si="15"/>
        <v>0</v>
      </c>
    </row>
    <row r="205" spans="1:22" x14ac:dyDescent="0.35">
      <c r="A205" s="2" t="s">
        <v>275</v>
      </c>
      <c r="B205" t="s">
        <v>145</v>
      </c>
      <c r="C205" s="5" t="s">
        <v>276</v>
      </c>
      <c r="F205" t="s">
        <v>240</v>
      </c>
      <c r="G205" t="s">
        <v>33</v>
      </c>
      <c r="H205" t="s">
        <v>277</v>
      </c>
      <c r="I205" t="s">
        <v>278</v>
      </c>
      <c r="J205" s="8" t="s">
        <v>279</v>
      </c>
      <c r="K205" t="s">
        <v>280</v>
      </c>
      <c r="M205">
        <f t="shared" si="12"/>
        <v>0</v>
      </c>
      <c r="N205" t="s">
        <v>65</v>
      </c>
      <c r="O205" t="s">
        <v>35</v>
      </c>
      <c r="P205" t="s">
        <v>278</v>
      </c>
      <c r="R205" s="9" t="s">
        <v>279</v>
      </c>
      <c r="S205" t="s">
        <v>280</v>
      </c>
      <c r="T205" s="11">
        <f t="shared" si="13"/>
        <v>0</v>
      </c>
      <c r="U205" s="11">
        <f t="shared" si="14"/>
        <v>0</v>
      </c>
      <c r="V205" s="11">
        <f t="shared" si="15"/>
        <v>0</v>
      </c>
    </row>
    <row r="206" spans="1:22" x14ac:dyDescent="0.35">
      <c r="A206" s="2">
        <v>45862</v>
      </c>
      <c r="B206" t="s">
        <v>86</v>
      </c>
      <c r="E206" s="5" t="s">
        <v>281</v>
      </c>
      <c r="F206" t="s">
        <v>198</v>
      </c>
      <c r="G206" t="s">
        <v>282</v>
      </c>
      <c r="H206" t="s">
        <v>283</v>
      </c>
      <c r="I206">
        <v>462200</v>
      </c>
      <c r="K206">
        <v>30</v>
      </c>
      <c r="M206">
        <f t="shared" si="12"/>
        <v>0</v>
      </c>
      <c r="N206" t="s">
        <v>284</v>
      </c>
      <c r="O206" t="s">
        <v>285</v>
      </c>
      <c r="P206">
        <v>515000</v>
      </c>
      <c r="R206" s="9">
        <v>0</v>
      </c>
      <c r="S206">
        <v>5</v>
      </c>
      <c r="T206" s="11">
        <f t="shared" si="13"/>
        <v>0</v>
      </c>
      <c r="U206" s="11">
        <f t="shared" si="14"/>
        <v>0</v>
      </c>
      <c r="V206" s="11">
        <f t="shared" si="15"/>
        <v>0</v>
      </c>
    </row>
    <row r="207" spans="1:22" x14ac:dyDescent="0.35">
      <c r="A207" s="2">
        <v>45879</v>
      </c>
      <c r="B207" t="s">
        <v>286</v>
      </c>
      <c r="C207" s="5" t="s">
        <v>287</v>
      </c>
      <c r="F207" t="s">
        <v>206</v>
      </c>
      <c r="G207" t="s">
        <v>50</v>
      </c>
      <c r="H207" t="s">
        <v>118</v>
      </c>
      <c r="I207">
        <v>100000</v>
      </c>
      <c r="J207" s="8">
        <v>-0.04</v>
      </c>
      <c r="K207">
        <v>30</v>
      </c>
      <c r="M207">
        <f t="shared" si="12"/>
        <v>0</v>
      </c>
      <c r="O207" t="s">
        <v>35</v>
      </c>
      <c r="P207">
        <v>100000</v>
      </c>
      <c r="R207" s="9">
        <v>-0.06</v>
      </c>
      <c r="S207">
        <v>30</v>
      </c>
      <c r="T207" s="11">
        <f t="shared" si="13"/>
        <v>0</v>
      </c>
      <c r="U207" s="11">
        <f t="shared" si="14"/>
        <v>0</v>
      </c>
      <c r="V207" s="11">
        <f t="shared" si="15"/>
        <v>0</v>
      </c>
    </row>
    <row r="208" spans="1:22" x14ac:dyDescent="0.35">
      <c r="A208" s="2">
        <v>45881</v>
      </c>
      <c r="B208" t="s">
        <v>42</v>
      </c>
      <c r="C208" s="5" t="s">
        <v>288</v>
      </c>
      <c r="D208" s="5" t="s">
        <v>104</v>
      </c>
      <c r="F208" t="s">
        <v>206</v>
      </c>
      <c r="G208" t="s">
        <v>33</v>
      </c>
      <c r="H208" t="s">
        <v>126</v>
      </c>
      <c r="I208">
        <v>35500</v>
      </c>
      <c r="J208" s="8">
        <v>-0.06</v>
      </c>
      <c r="K208">
        <v>30</v>
      </c>
      <c r="M208">
        <f t="shared" si="12"/>
        <v>0</v>
      </c>
      <c r="N208" t="s">
        <v>79</v>
      </c>
      <c r="O208" t="s">
        <v>143</v>
      </c>
      <c r="P208">
        <v>36500</v>
      </c>
      <c r="R208" s="9">
        <v>0</v>
      </c>
      <c r="S208">
        <v>10</v>
      </c>
      <c r="T208" s="11">
        <f t="shared" si="13"/>
        <v>0</v>
      </c>
      <c r="U208" s="11">
        <f t="shared" si="14"/>
        <v>0</v>
      </c>
      <c r="V208" s="11">
        <f t="shared" si="15"/>
        <v>0</v>
      </c>
    </row>
    <row r="209" spans="1:22" x14ac:dyDescent="0.35">
      <c r="A209" s="2">
        <v>45882</v>
      </c>
      <c r="B209" t="s">
        <v>42</v>
      </c>
      <c r="C209" s="5" t="s">
        <v>289</v>
      </c>
      <c r="F209" t="s">
        <v>56</v>
      </c>
      <c r="G209" t="s">
        <v>179</v>
      </c>
      <c r="H209" t="s">
        <v>290</v>
      </c>
      <c r="I209">
        <v>42500</v>
      </c>
      <c r="J209" s="8">
        <v>-0.06</v>
      </c>
      <c r="K209">
        <v>30</v>
      </c>
      <c r="M209">
        <f t="shared" si="12"/>
        <v>0</v>
      </c>
      <c r="N209" t="s">
        <v>52</v>
      </c>
      <c r="O209" t="s">
        <v>35</v>
      </c>
      <c r="P209">
        <v>42500</v>
      </c>
      <c r="R209" s="9">
        <v>-0.06</v>
      </c>
      <c r="S209">
        <v>30</v>
      </c>
      <c r="T209" s="11">
        <f t="shared" si="13"/>
        <v>0</v>
      </c>
      <c r="U209" s="11">
        <f t="shared" si="14"/>
        <v>0</v>
      </c>
      <c r="V209" s="11">
        <f t="shared" si="15"/>
        <v>0</v>
      </c>
    </row>
    <row r="210" spans="1:22" x14ac:dyDescent="0.35">
      <c r="A210" s="2">
        <v>45883</v>
      </c>
      <c r="B210" t="s">
        <v>86</v>
      </c>
      <c r="C210" s="5" t="s">
        <v>291</v>
      </c>
      <c r="F210" t="s">
        <v>240</v>
      </c>
      <c r="G210" t="s">
        <v>33</v>
      </c>
      <c r="H210" t="s">
        <v>118</v>
      </c>
      <c r="I210">
        <v>56000</v>
      </c>
      <c r="J210" s="8">
        <v>-0.06</v>
      </c>
      <c r="K210">
        <v>30</v>
      </c>
      <c r="M210">
        <f t="shared" si="12"/>
        <v>0</v>
      </c>
      <c r="O210" t="s">
        <v>35</v>
      </c>
      <c r="P210">
        <v>56000</v>
      </c>
      <c r="R210" s="9">
        <v>-0.06</v>
      </c>
      <c r="S210">
        <v>30</v>
      </c>
      <c r="T210" s="11">
        <f t="shared" si="13"/>
        <v>0</v>
      </c>
      <c r="U210" s="11">
        <f t="shared" si="14"/>
        <v>0</v>
      </c>
      <c r="V210" s="11">
        <f t="shared" si="15"/>
        <v>0</v>
      </c>
    </row>
    <row r="211" spans="1:22" x14ac:dyDescent="0.35">
      <c r="A211" s="2">
        <v>45887</v>
      </c>
      <c r="B211" t="s">
        <v>54</v>
      </c>
      <c r="C211" s="5" t="s">
        <v>292</v>
      </c>
      <c r="F211" t="s">
        <v>240</v>
      </c>
      <c r="G211" t="s">
        <v>33</v>
      </c>
      <c r="H211" t="s">
        <v>293</v>
      </c>
      <c r="I211">
        <v>46500</v>
      </c>
      <c r="J211" s="8">
        <v>-0.06</v>
      </c>
      <c r="K211">
        <v>30</v>
      </c>
      <c r="M211">
        <f t="shared" si="12"/>
        <v>0</v>
      </c>
      <c r="O211" t="s">
        <v>35</v>
      </c>
      <c r="P211">
        <v>46500</v>
      </c>
      <c r="R211" s="9">
        <v>-0.06</v>
      </c>
      <c r="S211">
        <v>30</v>
      </c>
      <c r="T211" s="11">
        <f t="shared" si="13"/>
        <v>0</v>
      </c>
      <c r="U211" s="11">
        <f t="shared" si="14"/>
        <v>0</v>
      </c>
      <c r="V211" s="11">
        <f t="shared" si="15"/>
        <v>0</v>
      </c>
    </row>
    <row r="212" spans="1:22" x14ac:dyDescent="0.35">
      <c r="A212" s="2">
        <v>45887</v>
      </c>
      <c r="B212" t="s">
        <v>37</v>
      </c>
      <c r="F212" t="s">
        <v>206</v>
      </c>
      <c r="G212" t="s">
        <v>33</v>
      </c>
      <c r="H212" t="s">
        <v>294</v>
      </c>
      <c r="I212">
        <v>44000</v>
      </c>
      <c r="J212" s="8">
        <v>-0.06</v>
      </c>
      <c r="K212">
        <v>30</v>
      </c>
      <c r="M212">
        <f t="shared" si="12"/>
        <v>0</v>
      </c>
      <c r="N212" t="s">
        <v>28</v>
      </c>
      <c r="O212" t="s">
        <v>35</v>
      </c>
      <c r="P212">
        <v>44000</v>
      </c>
      <c r="R212" s="9">
        <v>-0.06</v>
      </c>
      <c r="S212">
        <v>30</v>
      </c>
      <c r="T212" s="11">
        <f t="shared" si="13"/>
        <v>0</v>
      </c>
      <c r="U212" s="11">
        <f t="shared" si="14"/>
        <v>0</v>
      </c>
      <c r="V212" s="11">
        <f t="shared" si="15"/>
        <v>0</v>
      </c>
    </row>
    <row r="213" spans="1:22" x14ac:dyDescent="0.35">
      <c r="A213" s="2">
        <v>45891</v>
      </c>
      <c r="B213" t="s">
        <v>23</v>
      </c>
      <c r="C213" s="5" t="s">
        <v>295</v>
      </c>
      <c r="F213" t="s">
        <v>240</v>
      </c>
      <c r="G213" t="s">
        <v>33</v>
      </c>
      <c r="H213" t="s">
        <v>57</v>
      </c>
      <c r="I213">
        <v>41750</v>
      </c>
      <c r="J213" s="8">
        <v>-0.06</v>
      </c>
      <c r="K213">
        <v>30</v>
      </c>
      <c r="M213">
        <f t="shared" si="12"/>
        <v>0</v>
      </c>
      <c r="N213" t="s">
        <v>28</v>
      </c>
      <c r="O213" t="s">
        <v>35</v>
      </c>
      <c r="P213">
        <v>41750</v>
      </c>
      <c r="R213" s="9">
        <v>-0.06</v>
      </c>
      <c r="S213">
        <v>30</v>
      </c>
      <c r="T213" s="11">
        <f t="shared" si="13"/>
        <v>0</v>
      </c>
      <c r="U213" s="11">
        <f t="shared" si="14"/>
        <v>0</v>
      </c>
      <c r="V213" s="11">
        <f t="shared" si="15"/>
        <v>0</v>
      </c>
    </row>
    <row r="214" spans="1:22" x14ac:dyDescent="0.35">
      <c r="A214" s="2">
        <v>45892</v>
      </c>
      <c r="B214" t="s">
        <v>42</v>
      </c>
      <c r="D214" s="5" t="s">
        <v>157</v>
      </c>
      <c r="F214" t="s">
        <v>296</v>
      </c>
      <c r="G214" t="s">
        <v>50</v>
      </c>
      <c r="H214" t="s">
        <v>290</v>
      </c>
      <c r="I214">
        <v>29250</v>
      </c>
      <c r="J214" s="8">
        <v>-0.06</v>
      </c>
      <c r="K214">
        <v>30</v>
      </c>
      <c r="M214">
        <f t="shared" si="12"/>
        <v>0</v>
      </c>
      <c r="N214" t="s">
        <v>52</v>
      </c>
      <c r="O214" t="s">
        <v>53</v>
      </c>
      <c r="P214">
        <v>29900</v>
      </c>
      <c r="R214" s="9">
        <v>0</v>
      </c>
      <c r="S214">
        <v>120</v>
      </c>
      <c r="T214" s="11">
        <f t="shared" si="13"/>
        <v>0</v>
      </c>
      <c r="U214" s="11">
        <f t="shared" si="14"/>
        <v>0</v>
      </c>
      <c r="V214" s="11">
        <f t="shared" si="15"/>
        <v>0</v>
      </c>
    </row>
    <row r="215" spans="1:22" x14ac:dyDescent="0.35">
      <c r="A215" s="2">
        <v>45892</v>
      </c>
      <c r="B215" t="s">
        <v>42</v>
      </c>
      <c r="D215" s="5" t="s">
        <v>297</v>
      </c>
      <c r="F215" t="s">
        <v>296</v>
      </c>
      <c r="G215" t="s">
        <v>50</v>
      </c>
      <c r="H215" t="s">
        <v>290</v>
      </c>
      <c r="I215">
        <v>29250</v>
      </c>
      <c r="J215" s="8">
        <v>-0.06</v>
      </c>
      <c r="K215">
        <v>30</v>
      </c>
      <c r="M215">
        <f t="shared" si="12"/>
        <v>0</v>
      </c>
      <c r="N215" t="s">
        <v>52</v>
      </c>
      <c r="O215" t="s">
        <v>53</v>
      </c>
      <c r="P215">
        <v>29900</v>
      </c>
      <c r="R215" s="9">
        <v>0</v>
      </c>
      <c r="S215">
        <v>120</v>
      </c>
      <c r="T215" s="11">
        <f t="shared" si="13"/>
        <v>0</v>
      </c>
      <c r="U215" s="11">
        <f t="shared" si="14"/>
        <v>0</v>
      </c>
      <c r="V215" s="11">
        <f t="shared" si="15"/>
        <v>0</v>
      </c>
    </row>
    <row r="216" spans="1:22" x14ac:dyDescent="0.35">
      <c r="A216" s="2">
        <v>45892</v>
      </c>
      <c r="B216" t="s">
        <v>42</v>
      </c>
      <c r="D216" s="5" t="s">
        <v>111</v>
      </c>
      <c r="F216" t="s">
        <v>296</v>
      </c>
      <c r="G216" t="s">
        <v>50</v>
      </c>
      <c r="H216" t="s">
        <v>290</v>
      </c>
      <c r="I216">
        <v>32000</v>
      </c>
      <c r="J216" s="8">
        <v>-0.06</v>
      </c>
      <c r="K216">
        <v>30</v>
      </c>
      <c r="M216">
        <f t="shared" si="12"/>
        <v>0</v>
      </c>
      <c r="N216" t="s">
        <v>52</v>
      </c>
      <c r="O216" t="s">
        <v>53</v>
      </c>
      <c r="P216">
        <v>33000</v>
      </c>
      <c r="R216" s="9">
        <v>0</v>
      </c>
      <c r="S216">
        <v>120</v>
      </c>
      <c r="T216" s="11">
        <f t="shared" si="13"/>
        <v>0</v>
      </c>
      <c r="U216" s="11">
        <f t="shared" si="14"/>
        <v>0</v>
      </c>
      <c r="V216" s="11">
        <f t="shared" si="15"/>
        <v>0</v>
      </c>
    </row>
    <row r="217" spans="1:22" x14ac:dyDescent="0.35">
      <c r="A217" s="2">
        <v>45892</v>
      </c>
      <c r="B217" t="s">
        <v>42</v>
      </c>
      <c r="D217" s="5" t="s">
        <v>298</v>
      </c>
      <c r="F217" t="s">
        <v>296</v>
      </c>
      <c r="G217" t="s">
        <v>50</v>
      </c>
      <c r="H217" t="s">
        <v>290</v>
      </c>
      <c r="I217">
        <v>34000</v>
      </c>
      <c r="J217" s="8">
        <v>-0.06</v>
      </c>
      <c r="K217">
        <v>30</v>
      </c>
      <c r="M217">
        <f t="shared" si="12"/>
        <v>0</v>
      </c>
      <c r="N217" t="s">
        <v>52</v>
      </c>
      <c r="O217" t="s">
        <v>53</v>
      </c>
      <c r="P217">
        <v>34750</v>
      </c>
      <c r="R217" s="9">
        <v>0</v>
      </c>
      <c r="S217">
        <v>120</v>
      </c>
      <c r="T217" s="11">
        <f t="shared" si="13"/>
        <v>0</v>
      </c>
      <c r="U217" s="11">
        <f t="shared" si="14"/>
        <v>0</v>
      </c>
      <c r="V217" s="11">
        <f t="shared" si="15"/>
        <v>0</v>
      </c>
    </row>
    <row r="218" spans="1:22" x14ac:dyDescent="0.35">
      <c r="A218" s="2">
        <v>45892</v>
      </c>
      <c r="B218" t="s">
        <v>42</v>
      </c>
      <c r="D218" s="5" t="s">
        <v>299</v>
      </c>
      <c r="F218" t="s">
        <v>296</v>
      </c>
      <c r="G218" t="s">
        <v>50</v>
      </c>
      <c r="H218" t="s">
        <v>290</v>
      </c>
      <c r="I218">
        <v>34000</v>
      </c>
      <c r="J218" s="8">
        <v>-0.06</v>
      </c>
      <c r="K218">
        <v>30</v>
      </c>
      <c r="M218">
        <f t="shared" si="12"/>
        <v>0</v>
      </c>
      <c r="N218" t="s">
        <v>52</v>
      </c>
      <c r="O218" t="s">
        <v>53</v>
      </c>
      <c r="P218">
        <v>34750</v>
      </c>
      <c r="R218" s="9">
        <v>0</v>
      </c>
      <c r="S218">
        <v>120</v>
      </c>
      <c r="T218" s="11">
        <f t="shared" si="13"/>
        <v>0</v>
      </c>
      <c r="U218" s="11">
        <f t="shared" si="14"/>
        <v>0</v>
      </c>
      <c r="V218" s="11">
        <f t="shared" si="15"/>
        <v>0</v>
      </c>
    </row>
    <row r="219" spans="1:22" x14ac:dyDescent="0.35">
      <c r="A219" s="2">
        <v>45894</v>
      </c>
      <c r="B219" t="s">
        <v>42</v>
      </c>
      <c r="D219" s="5" t="s">
        <v>93</v>
      </c>
      <c r="F219" t="s">
        <v>198</v>
      </c>
      <c r="G219" t="s">
        <v>44</v>
      </c>
      <c r="H219" t="s">
        <v>94</v>
      </c>
      <c r="I219">
        <v>63000</v>
      </c>
      <c r="J219" s="8">
        <v>-0.06</v>
      </c>
      <c r="K219">
        <v>30</v>
      </c>
      <c r="M219">
        <f t="shared" si="12"/>
        <v>0</v>
      </c>
      <c r="N219" t="s">
        <v>95</v>
      </c>
      <c r="O219" t="s">
        <v>80</v>
      </c>
      <c r="P219">
        <v>63000</v>
      </c>
      <c r="R219" s="9">
        <v>-0.06</v>
      </c>
      <c r="S219">
        <v>30</v>
      </c>
      <c r="T219" s="11">
        <f t="shared" si="13"/>
        <v>0</v>
      </c>
      <c r="U219" s="11">
        <f t="shared" si="14"/>
        <v>0</v>
      </c>
      <c r="V219" s="11">
        <f t="shared" si="15"/>
        <v>0</v>
      </c>
    </row>
    <row r="220" spans="1:22" x14ac:dyDescent="0.35">
      <c r="A220" s="2">
        <v>45894</v>
      </c>
      <c r="B220" t="s">
        <v>42</v>
      </c>
      <c r="F220" t="s">
        <v>198</v>
      </c>
      <c r="G220" t="s">
        <v>44</v>
      </c>
      <c r="H220" t="s">
        <v>94</v>
      </c>
      <c r="I220">
        <v>56000</v>
      </c>
      <c r="J220" s="8">
        <v>-0.06</v>
      </c>
      <c r="K220">
        <v>30</v>
      </c>
      <c r="M220">
        <f t="shared" si="12"/>
        <v>0</v>
      </c>
      <c r="N220" t="s">
        <v>95</v>
      </c>
      <c r="O220" t="s">
        <v>80</v>
      </c>
      <c r="P220">
        <v>56000</v>
      </c>
      <c r="R220" s="9">
        <v>-0.06</v>
      </c>
      <c r="S220">
        <v>30</v>
      </c>
      <c r="T220" s="11">
        <f t="shared" si="13"/>
        <v>0</v>
      </c>
      <c r="U220" s="11">
        <f t="shared" si="14"/>
        <v>0</v>
      </c>
      <c r="V220" s="11">
        <f t="shared" si="15"/>
        <v>0</v>
      </c>
    </row>
    <row r="221" spans="1:22" x14ac:dyDescent="0.35">
      <c r="A221" s="2">
        <v>45903</v>
      </c>
      <c r="B221" t="s">
        <v>42</v>
      </c>
      <c r="D221" s="5" t="s">
        <v>104</v>
      </c>
      <c r="F221" t="s">
        <v>49</v>
      </c>
      <c r="G221" t="s">
        <v>257</v>
      </c>
      <c r="H221" t="s">
        <v>300</v>
      </c>
      <c r="I221">
        <v>13800</v>
      </c>
      <c r="J221" s="8">
        <v>-0.08</v>
      </c>
      <c r="K221">
        <v>30</v>
      </c>
      <c r="M221">
        <f t="shared" si="12"/>
        <v>0</v>
      </c>
      <c r="N221" t="s">
        <v>301</v>
      </c>
      <c r="O221" t="s">
        <v>53</v>
      </c>
      <c r="P221">
        <v>14150</v>
      </c>
      <c r="R221" s="9">
        <v>0</v>
      </c>
      <c r="S221">
        <v>150</v>
      </c>
      <c r="T221" s="11">
        <f t="shared" si="13"/>
        <v>0</v>
      </c>
      <c r="U221" s="11">
        <f t="shared" si="14"/>
        <v>0</v>
      </c>
      <c r="V221" s="11">
        <f t="shared" si="15"/>
        <v>0</v>
      </c>
    </row>
    <row r="222" spans="1:22" x14ac:dyDescent="0.35">
      <c r="A222" s="2">
        <v>45909</v>
      </c>
      <c r="B222" t="s">
        <v>37</v>
      </c>
      <c r="C222" s="5" t="s">
        <v>302</v>
      </c>
      <c r="F222" t="s">
        <v>240</v>
      </c>
      <c r="G222" t="s">
        <v>33</v>
      </c>
      <c r="H222" t="s">
        <v>294</v>
      </c>
      <c r="I222">
        <v>60000</v>
      </c>
      <c r="J222" s="8">
        <v>-0.06</v>
      </c>
      <c r="K222">
        <v>30</v>
      </c>
      <c r="M222">
        <f t="shared" si="12"/>
        <v>0</v>
      </c>
      <c r="N222" t="s">
        <v>28</v>
      </c>
      <c r="O222" t="s">
        <v>35</v>
      </c>
      <c r="P222">
        <v>60000</v>
      </c>
      <c r="R222" s="9">
        <v>-0.06</v>
      </c>
      <c r="S222">
        <v>30</v>
      </c>
      <c r="T222" s="11">
        <f t="shared" si="13"/>
        <v>0</v>
      </c>
      <c r="U222" s="11">
        <f t="shared" si="14"/>
        <v>0</v>
      </c>
      <c r="V222" s="11">
        <f t="shared" si="15"/>
        <v>0</v>
      </c>
    </row>
    <row r="223" spans="1:22" x14ac:dyDescent="0.35">
      <c r="A223" s="2">
        <v>45909</v>
      </c>
      <c r="B223" t="s">
        <v>37</v>
      </c>
      <c r="C223" s="5" t="s">
        <v>302</v>
      </c>
      <c r="F223" t="s">
        <v>206</v>
      </c>
      <c r="G223" t="s">
        <v>33</v>
      </c>
      <c r="H223" t="s">
        <v>294</v>
      </c>
      <c r="I223">
        <v>54000</v>
      </c>
      <c r="J223" s="8">
        <v>-0.06</v>
      </c>
      <c r="K223">
        <v>30</v>
      </c>
      <c r="M223">
        <f t="shared" si="12"/>
        <v>0</v>
      </c>
      <c r="N223" t="s">
        <v>28</v>
      </c>
      <c r="O223" t="s">
        <v>35</v>
      </c>
      <c r="P223">
        <v>54000</v>
      </c>
      <c r="R223" s="9">
        <v>-0.06</v>
      </c>
      <c r="S223">
        <v>30</v>
      </c>
      <c r="T223" s="11">
        <f t="shared" si="13"/>
        <v>0</v>
      </c>
      <c r="U223" s="11">
        <f t="shared" si="14"/>
        <v>0</v>
      </c>
      <c r="V223" s="11">
        <f t="shared" si="15"/>
        <v>0</v>
      </c>
    </row>
    <row r="224" spans="1:22" x14ac:dyDescent="0.35">
      <c r="A224" s="2">
        <v>45909</v>
      </c>
      <c r="B224" t="s">
        <v>54</v>
      </c>
      <c r="C224" s="5" t="s">
        <v>303</v>
      </c>
      <c r="F224" t="s">
        <v>240</v>
      </c>
      <c r="G224" t="s">
        <v>33</v>
      </c>
      <c r="H224" t="s">
        <v>207</v>
      </c>
      <c r="I224">
        <v>43600</v>
      </c>
      <c r="J224" s="8">
        <v>-0.06</v>
      </c>
      <c r="K224">
        <v>30</v>
      </c>
      <c r="M224">
        <f t="shared" si="12"/>
        <v>0</v>
      </c>
      <c r="O224" t="s">
        <v>35</v>
      </c>
      <c r="P224">
        <v>43600</v>
      </c>
      <c r="R224" s="9">
        <v>-0.06</v>
      </c>
      <c r="S224">
        <v>30</v>
      </c>
      <c r="T224" s="11">
        <f t="shared" si="13"/>
        <v>0</v>
      </c>
      <c r="U224" s="11">
        <f t="shared" si="14"/>
        <v>0</v>
      </c>
      <c r="V224" s="11">
        <f t="shared" si="15"/>
        <v>0</v>
      </c>
    </row>
    <row r="225" spans="1:22" x14ac:dyDescent="0.35">
      <c r="A225" s="2">
        <v>45913</v>
      </c>
      <c r="B225" t="s">
        <v>42</v>
      </c>
      <c r="D225" s="5" t="s">
        <v>304</v>
      </c>
      <c r="F225" t="s">
        <v>240</v>
      </c>
      <c r="G225" t="s">
        <v>44</v>
      </c>
      <c r="H225" t="s">
        <v>94</v>
      </c>
      <c r="I225">
        <v>53000</v>
      </c>
      <c r="J225" s="8">
        <v>-0.06</v>
      </c>
      <c r="K225">
        <v>30</v>
      </c>
      <c r="M225">
        <f t="shared" si="12"/>
        <v>0</v>
      </c>
      <c r="N225" t="s">
        <v>95</v>
      </c>
      <c r="O225" t="s">
        <v>80</v>
      </c>
      <c r="P225">
        <v>55000</v>
      </c>
      <c r="R225" s="9">
        <v>-0.06</v>
      </c>
      <c r="S225">
        <v>30</v>
      </c>
      <c r="T225" s="11">
        <f t="shared" si="13"/>
        <v>0</v>
      </c>
      <c r="U225" s="11">
        <f t="shared" si="14"/>
        <v>0</v>
      </c>
      <c r="V225" s="11">
        <f t="shared" si="15"/>
        <v>0</v>
      </c>
    </row>
    <row r="226" spans="1:22" x14ac:dyDescent="0.35">
      <c r="A226" s="2">
        <v>45913</v>
      </c>
      <c r="B226" t="s">
        <v>42</v>
      </c>
      <c r="D226" s="5" t="s">
        <v>104</v>
      </c>
      <c r="F226" t="s">
        <v>240</v>
      </c>
      <c r="G226" t="s">
        <v>44</v>
      </c>
      <c r="H226" t="s">
        <v>305</v>
      </c>
      <c r="I226">
        <v>41500</v>
      </c>
      <c r="J226" s="8">
        <v>-0.06</v>
      </c>
      <c r="K226">
        <v>30</v>
      </c>
      <c r="M226">
        <f t="shared" si="12"/>
        <v>0</v>
      </c>
      <c r="N226" t="s">
        <v>52</v>
      </c>
      <c r="O226" t="s">
        <v>80</v>
      </c>
      <c r="P226">
        <v>43000</v>
      </c>
      <c r="R226" s="9">
        <v>-0.06</v>
      </c>
      <c r="S226">
        <v>30</v>
      </c>
      <c r="T226" s="11">
        <f t="shared" si="13"/>
        <v>0</v>
      </c>
      <c r="U226" s="11">
        <f t="shared" si="14"/>
        <v>0</v>
      </c>
      <c r="V226" s="11">
        <f t="shared" si="15"/>
        <v>0</v>
      </c>
    </row>
    <row r="227" spans="1:22" x14ac:dyDescent="0.35">
      <c r="A227" s="2">
        <v>45913</v>
      </c>
      <c r="B227" t="s">
        <v>42</v>
      </c>
      <c r="D227" s="5" t="s">
        <v>101</v>
      </c>
      <c r="F227" t="s">
        <v>240</v>
      </c>
      <c r="G227" t="s">
        <v>44</v>
      </c>
      <c r="H227" t="s">
        <v>305</v>
      </c>
      <c r="I227">
        <v>37750</v>
      </c>
      <c r="J227" s="8">
        <v>-0.06</v>
      </c>
      <c r="K227">
        <v>30</v>
      </c>
      <c r="M227">
        <f t="shared" si="12"/>
        <v>0</v>
      </c>
      <c r="N227" t="s">
        <v>52</v>
      </c>
      <c r="O227" t="s">
        <v>80</v>
      </c>
      <c r="P227">
        <v>39000</v>
      </c>
      <c r="R227" s="9">
        <v>-0.06</v>
      </c>
      <c r="S227">
        <v>30</v>
      </c>
      <c r="T227" s="11">
        <f t="shared" si="13"/>
        <v>0</v>
      </c>
      <c r="U227" s="11">
        <f t="shared" si="14"/>
        <v>0</v>
      </c>
      <c r="V227" s="11">
        <f t="shared" si="15"/>
        <v>0</v>
      </c>
    </row>
    <row r="228" spans="1:22" x14ac:dyDescent="0.35">
      <c r="A228" s="2">
        <v>45916</v>
      </c>
      <c r="B228" t="s">
        <v>145</v>
      </c>
      <c r="C228" s="5" t="s">
        <v>306</v>
      </c>
      <c r="F228" t="s">
        <v>56</v>
      </c>
      <c r="G228" t="s">
        <v>50</v>
      </c>
      <c r="H228" t="s">
        <v>189</v>
      </c>
      <c r="I228">
        <v>43000</v>
      </c>
      <c r="J228" s="8">
        <v>-0.06</v>
      </c>
      <c r="K228">
        <v>30</v>
      </c>
      <c r="M228">
        <f t="shared" si="12"/>
        <v>0</v>
      </c>
      <c r="N228" t="s">
        <v>28</v>
      </c>
      <c r="O228" t="s">
        <v>53</v>
      </c>
      <c r="P228">
        <v>44000</v>
      </c>
      <c r="R228" s="9">
        <v>0</v>
      </c>
      <c r="S228">
        <v>120</v>
      </c>
      <c r="T228" s="11">
        <f t="shared" si="13"/>
        <v>0</v>
      </c>
      <c r="U228" s="11">
        <f t="shared" si="14"/>
        <v>0</v>
      </c>
      <c r="V228" s="11">
        <f t="shared" si="15"/>
        <v>0</v>
      </c>
    </row>
    <row r="229" spans="1:22" x14ac:dyDescent="0.35">
      <c r="A229" s="2">
        <v>45916</v>
      </c>
      <c r="B229" t="s">
        <v>145</v>
      </c>
      <c r="C229" s="5" t="s">
        <v>306</v>
      </c>
      <c r="F229" t="s">
        <v>56</v>
      </c>
      <c r="G229" t="s">
        <v>50</v>
      </c>
      <c r="H229" t="s">
        <v>65</v>
      </c>
      <c r="I229">
        <v>42000</v>
      </c>
      <c r="J229" s="8">
        <v>-0.06</v>
      </c>
      <c r="K229">
        <v>30</v>
      </c>
      <c r="M229">
        <f t="shared" si="12"/>
        <v>0</v>
      </c>
      <c r="N229" t="s">
        <v>65</v>
      </c>
      <c r="O229" t="s">
        <v>53</v>
      </c>
      <c r="P229">
        <v>44000</v>
      </c>
      <c r="R229" s="9">
        <v>0</v>
      </c>
      <c r="S229">
        <v>120</v>
      </c>
      <c r="T229" s="11">
        <f t="shared" si="13"/>
        <v>0</v>
      </c>
      <c r="U229" s="11">
        <f t="shared" si="14"/>
        <v>0</v>
      </c>
      <c r="V229" s="11">
        <f t="shared" si="15"/>
        <v>0</v>
      </c>
    </row>
    <row r="230" spans="1:22" x14ac:dyDescent="0.35">
      <c r="A230" s="2">
        <v>45918</v>
      </c>
      <c r="B230" t="s">
        <v>145</v>
      </c>
      <c r="C230" s="5" t="s">
        <v>306</v>
      </c>
      <c r="F230" t="s">
        <v>56</v>
      </c>
      <c r="G230" t="s">
        <v>50</v>
      </c>
      <c r="H230" t="s">
        <v>65</v>
      </c>
      <c r="I230">
        <v>42100</v>
      </c>
      <c r="J230" s="8">
        <v>-0.06</v>
      </c>
      <c r="K230">
        <v>30</v>
      </c>
      <c r="M230">
        <f t="shared" si="12"/>
        <v>0</v>
      </c>
      <c r="N230" t="s">
        <v>65</v>
      </c>
      <c r="O230" t="s">
        <v>53</v>
      </c>
      <c r="P230">
        <v>44000</v>
      </c>
      <c r="R230" s="9">
        <v>0</v>
      </c>
      <c r="S230">
        <v>120</v>
      </c>
      <c r="T230" s="11">
        <f t="shared" si="13"/>
        <v>0</v>
      </c>
      <c r="U230" s="11">
        <f t="shared" si="14"/>
        <v>0</v>
      </c>
      <c r="V230" s="11">
        <f t="shared" si="15"/>
        <v>0</v>
      </c>
    </row>
    <row r="231" spans="1:22" x14ac:dyDescent="0.35">
      <c r="A231" s="2">
        <v>45924</v>
      </c>
      <c r="B231" t="s">
        <v>145</v>
      </c>
      <c r="C231" s="5" t="s">
        <v>306</v>
      </c>
      <c r="F231" t="s">
        <v>56</v>
      </c>
      <c r="G231" t="s">
        <v>50</v>
      </c>
      <c r="H231" t="s">
        <v>307</v>
      </c>
      <c r="I231">
        <v>43200</v>
      </c>
      <c r="J231" s="8">
        <v>-0.06</v>
      </c>
      <c r="K231">
        <v>30</v>
      </c>
      <c r="M231">
        <f t="shared" si="12"/>
        <v>0</v>
      </c>
      <c r="N231" t="s">
        <v>28</v>
      </c>
      <c r="O231" t="s">
        <v>53</v>
      </c>
      <c r="P231">
        <v>44200</v>
      </c>
      <c r="R231" s="9">
        <v>0</v>
      </c>
      <c r="S231">
        <v>120</v>
      </c>
      <c r="T231" s="11">
        <f t="shared" si="13"/>
        <v>0</v>
      </c>
      <c r="U231" s="11">
        <f t="shared" si="14"/>
        <v>0</v>
      </c>
      <c r="V231" s="11">
        <f t="shared" si="15"/>
        <v>0</v>
      </c>
    </row>
    <row r="232" spans="1:22" x14ac:dyDescent="0.35">
      <c r="A232" s="2">
        <v>45926</v>
      </c>
      <c r="B232" t="s">
        <v>145</v>
      </c>
      <c r="C232" s="5" t="s">
        <v>203</v>
      </c>
      <c r="F232" t="s">
        <v>56</v>
      </c>
      <c r="G232" t="s">
        <v>33</v>
      </c>
      <c r="H232" t="s">
        <v>161</v>
      </c>
      <c r="I232">
        <v>51000</v>
      </c>
      <c r="J232" s="8">
        <v>-0.06</v>
      </c>
      <c r="K232">
        <v>30</v>
      </c>
      <c r="M232">
        <f t="shared" si="12"/>
        <v>0</v>
      </c>
      <c r="N232" t="s">
        <v>28</v>
      </c>
      <c r="O232" t="s">
        <v>53</v>
      </c>
      <c r="P232">
        <v>53000</v>
      </c>
      <c r="R232" s="9">
        <v>0</v>
      </c>
      <c r="S232">
        <v>120</v>
      </c>
      <c r="T232" s="11">
        <f t="shared" si="13"/>
        <v>0</v>
      </c>
      <c r="U232" s="11">
        <f t="shared" si="14"/>
        <v>0</v>
      </c>
      <c r="V232" s="11">
        <f t="shared" si="15"/>
        <v>0</v>
      </c>
    </row>
    <row r="233" spans="1:22" x14ac:dyDescent="0.35">
      <c r="A233" s="2">
        <v>45927</v>
      </c>
      <c r="B233" t="s">
        <v>145</v>
      </c>
      <c r="C233" s="5" t="s">
        <v>308</v>
      </c>
      <c r="F233" t="s">
        <v>56</v>
      </c>
      <c r="G233" t="s">
        <v>33</v>
      </c>
      <c r="H233" t="s">
        <v>161</v>
      </c>
      <c r="I233">
        <v>61000</v>
      </c>
      <c r="J233" s="8">
        <v>-0.06</v>
      </c>
      <c r="K233">
        <v>30</v>
      </c>
      <c r="M233">
        <f t="shared" si="12"/>
        <v>0</v>
      </c>
      <c r="N233" t="s">
        <v>28</v>
      </c>
      <c r="O233" t="s">
        <v>53</v>
      </c>
      <c r="P233">
        <v>63000</v>
      </c>
      <c r="R233" s="9">
        <v>0</v>
      </c>
      <c r="S233">
        <v>120</v>
      </c>
      <c r="T233" s="11">
        <f t="shared" si="13"/>
        <v>0</v>
      </c>
      <c r="U233" s="11">
        <f t="shared" si="14"/>
        <v>0</v>
      </c>
      <c r="V233" s="11">
        <f t="shared" si="15"/>
        <v>0</v>
      </c>
    </row>
    <row r="234" spans="1:22" x14ac:dyDescent="0.35">
      <c r="A234" s="2">
        <v>45920</v>
      </c>
      <c r="B234" t="s">
        <v>42</v>
      </c>
      <c r="D234" s="5" t="s">
        <v>104</v>
      </c>
      <c r="F234" t="s">
        <v>72</v>
      </c>
      <c r="G234" t="s">
        <v>33</v>
      </c>
      <c r="H234" t="s">
        <v>73</v>
      </c>
      <c r="I234">
        <v>18950</v>
      </c>
      <c r="J234" s="8">
        <v>-0.09</v>
      </c>
      <c r="K234">
        <v>30</v>
      </c>
      <c r="M234">
        <f t="shared" si="12"/>
        <v>0</v>
      </c>
      <c r="N234" t="s">
        <v>52</v>
      </c>
      <c r="O234" t="s">
        <v>309</v>
      </c>
      <c r="P234">
        <v>19000</v>
      </c>
      <c r="R234" s="9">
        <v>0</v>
      </c>
      <c r="S234">
        <v>150</v>
      </c>
      <c r="T234" s="11">
        <f t="shared" si="13"/>
        <v>0</v>
      </c>
      <c r="U234" s="11">
        <f t="shared" si="14"/>
        <v>0</v>
      </c>
      <c r="V234" s="11">
        <f t="shared" si="15"/>
        <v>0</v>
      </c>
    </row>
    <row r="235" spans="1:22" x14ac:dyDescent="0.35">
      <c r="A235" s="2">
        <v>45931</v>
      </c>
      <c r="B235" t="s">
        <v>145</v>
      </c>
      <c r="C235" s="5" t="s">
        <v>310</v>
      </c>
      <c r="F235" t="s">
        <v>206</v>
      </c>
      <c r="G235" t="s">
        <v>33</v>
      </c>
      <c r="H235" t="s">
        <v>241</v>
      </c>
      <c r="I235">
        <v>52900</v>
      </c>
      <c r="J235" s="8">
        <v>-0.06</v>
      </c>
      <c r="K235">
        <v>30</v>
      </c>
      <c r="M235">
        <f t="shared" si="12"/>
        <v>0</v>
      </c>
      <c r="N235" t="s">
        <v>65</v>
      </c>
      <c r="O235" t="s">
        <v>35</v>
      </c>
      <c r="P235">
        <v>52900</v>
      </c>
      <c r="R235" s="9">
        <v>-0.06</v>
      </c>
      <c r="S235">
        <v>30</v>
      </c>
      <c r="T235" s="11">
        <f t="shared" si="13"/>
        <v>0</v>
      </c>
      <c r="U235" s="11">
        <f t="shared" si="14"/>
        <v>0</v>
      </c>
      <c r="V235" s="11">
        <f t="shared" si="15"/>
        <v>0</v>
      </c>
    </row>
    <row r="236" spans="1:22" x14ac:dyDescent="0.35">
      <c r="A236" s="2">
        <v>45931</v>
      </c>
      <c r="B236" t="s">
        <v>145</v>
      </c>
      <c r="C236" s="5" t="s">
        <v>310</v>
      </c>
      <c r="F236" t="s">
        <v>206</v>
      </c>
      <c r="G236" t="s">
        <v>33</v>
      </c>
      <c r="H236" t="s">
        <v>246</v>
      </c>
      <c r="I236">
        <v>42000</v>
      </c>
      <c r="J236" s="8">
        <v>-0.06</v>
      </c>
      <c r="K236">
        <v>30</v>
      </c>
      <c r="M236">
        <f t="shared" si="12"/>
        <v>0</v>
      </c>
      <c r="N236" t="s">
        <v>65</v>
      </c>
      <c r="O236" t="s">
        <v>35</v>
      </c>
      <c r="P236">
        <v>42000</v>
      </c>
      <c r="R236" s="9">
        <v>-0.06</v>
      </c>
      <c r="S236">
        <v>30</v>
      </c>
      <c r="T236" s="11">
        <f t="shared" si="13"/>
        <v>0</v>
      </c>
      <c r="U236" s="11">
        <f t="shared" si="14"/>
        <v>0</v>
      </c>
      <c r="V236" s="11">
        <f t="shared" si="15"/>
        <v>0</v>
      </c>
    </row>
    <row r="237" spans="1:22" x14ac:dyDescent="0.35">
      <c r="A237" s="2">
        <v>45931</v>
      </c>
      <c r="B237" t="s">
        <v>145</v>
      </c>
      <c r="C237" s="5" t="s">
        <v>310</v>
      </c>
      <c r="F237" t="s">
        <v>206</v>
      </c>
      <c r="G237" t="s">
        <v>33</v>
      </c>
      <c r="H237" t="s">
        <v>246</v>
      </c>
      <c r="I237">
        <v>49900</v>
      </c>
      <c r="J237" s="8">
        <v>-0.06</v>
      </c>
      <c r="K237">
        <v>30</v>
      </c>
      <c r="M237">
        <f t="shared" si="12"/>
        <v>0</v>
      </c>
      <c r="N237" t="s">
        <v>65</v>
      </c>
      <c r="O237" t="s">
        <v>35</v>
      </c>
      <c r="P237">
        <v>49900</v>
      </c>
      <c r="R237" s="9">
        <v>-0.06</v>
      </c>
      <c r="S237">
        <v>30</v>
      </c>
      <c r="T237" s="11">
        <f t="shared" si="13"/>
        <v>0</v>
      </c>
      <c r="U237" s="11">
        <f t="shared" si="14"/>
        <v>0</v>
      </c>
      <c r="V237" s="11">
        <f t="shared" si="15"/>
        <v>0</v>
      </c>
    </row>
    <row r="238" spans="1:22" x14ac:dyDescent="0.35">
      <c r="A238" s="2">
        <v>45931</v>
      </c>
      <c r="B238" t="s">
        <v>145</v>
      </c>
      <c r="C238" s="5" t="s">
        <v>310</v>
      </c>
      <c r="F238" t="s">
        <v>206</v>
      </c>
      <c r="G238" t="s">
        <v>33</v>
      </c>
      <c r="H238" t="s">
        <v>246</v>
      </c>
      <c r="I238">
        <v>49900</v>
      </c>
      <c r="J238" s="8">
        <v>-0.06</v>
      </c>
      <c r="K238">
        <v>30</v>
      </c>
      <c r="M238">
        <f t="shared" si="12"/>
        <v>0</v>
      </c>
      <c r="N238" t="s">
        <v>65</v>
      </c>
      <c r="O238" t="s">
        <v>35</v>
      </c>
      <c r="P238">
        <v>49900</v>
      </c>
      <c r="R238" s="9">
        <v>-0.06</v>
      </c>
      <c r="S238">
        <v>30</v>
      </c>
      <c r="T238" s="11">
        <f t="shared" si="13"/>
        <v>0</v>
      </c>
      <c r="U238" s="11">
        <f t="shared" si="14"/>
        <v>0</v>
      </c>
      <c r="V238" s="11">
        <f t="shared" si="15"/>
        <v>0</v>
      </c>
    </row>
    <row r="239" spans="1:22" x14ac:dyDescent="0.35">
      <c r="A239" s="2">
        <v>45931</v>
      </c>
      <c r="B239" t="s">
        <v>42</v>
      </c>
      <c r="D239" s="5" t="s">
        <v>311</v>
      </c>
      <c r="F239" t="s">
        <v>206</v>
      </c>
      <c r="G239" t="s">
        <v>33</v>
      </c>
      <c r="H239" t="s">
        <v>312</v>
      </c>
      <c r="I239">
        <v>32250</v>
      </c>
      <c r="J239" s="8">
        <v>-0.06</v>
      </c>
      <c r="K239">
        <v>30</v>
      </c>
      <c r="M239">
        <f t="shared" si="12"/>
        <v>0</v>
      </c>
      <c r="N239" t="s">
        <v>270</v>
      </c>
      <c r="O239" t="s">
        <v>35</v>
      </c>
      <c r="P239">
        <v>32250</v>
      </c>
      <c r="R239" s="9">
        <v>-0.06</v>
      </c>
      <c r="S239">
        <v>30</v>
      </c>
      <c r="T239" s="11">
        <f t="shared" si="13"/>
        <v>0</v>
      </c>
      <c r="U239" s="11">
        <f t="shared" si="14"/>
        <v>0</v>
      </c>
      <c r="V239" s="11">
        <f t="shared" si="15"/>
        <v>0</v>
      </c>
    </row>
    <row r="240" spans="1:22" x14ac:dyDescent="0.35">
      <c r="A240" s="2">
        <v>45938</v>
      </c>
      <c r="B240" t="s">
        <v>145</v>
      </c>
      <c r="C240" s="5" t="s">
        <v>313</v>
      </c>
      <c r="F240" t="s">
        <v>56</v>
      </c>
      <c r="G240" t="s">
        <v>33</v>
      </c>
      <c r="H240" t="s">
        <v>307</v>
      </c>
      <c r="I240">
        <v>89000</v>
      </c>
      <c r="J240" s="8">
        <v>-0.06</v>
      </c>
      <c r="K240">
        <v>30</v>
      </c>
      <c r="M240">
        <f t="shared" si="12"/>
        <v>0</v>
      </c>
      <c r="N240" t="s">
        <v>28</v>
      </c>
      <c r="O240" t="s">
        <v>53</v>
      </c>
      <c r="P240">
        <v>92000</v>
      </c>
      <c r="R240" s="9">
        <v>0</v>
      </c>
      <c r="S240">
        <v>120</v>
      </c>
      <c r="T240" s="11">
        <f t="shared" si="13"/>
        <v>0</v>
      </c>
      <c r="U240" s="11">
        <f t="shared" si="14"/>
        <v>0</v>
      </c>
      <c r="V240" s="11">
        <f t="shared" si="15"/>
        <v>0</v>
      </c>
    </row>
    <row r="241" spans="1:22" x14ac:dyDescent="0.35">
      <c r="A241" s="2">
        <v>45938</v>
      </c>
      <c r="B241" t="s">
        <v>145</v>
      </c>
      <c r="C241" s="5" t="s">
        <v>314</v>
      </c>
      <c r="F241" t="s">
        <v>56</v>
      </c>
      <c r="G241" t="s">
        <v>33</v>
      </c>
      <c r="H241" t="s">
        <v>307</v>
      </c>
      <c r="I241">
        <v>100000</v>
      </c>
      <c r="J241" s="8">
        <v>-0.06</v>
      </c>
      <c r="K241">
        <v>30</v>
      </c>
      <c r="M241">
        <f t="shared" si="12"/>
        <v>0</v>
      </c>
      <c r="N241" t="s">
        <v>28</v>
      </c>
      <c r="O241" t="s">
        <v>53</v>
      </c>
      <c r="P241">
        <v>103000</v>
      </c>
      <c r="R241" s="9">
        <v>0</v>
      </c>
      <c r="S241">
        <v>120</v>
      </c>
      <c r="T241" s="11">
        <f t="shared" si="13"/>
        <v>0</v>
      </c>
      <c r="U241" s="11">
        <f t="shared" si="14"/>
        <v>0</v>
      </c>
      <c r="V241" s="11">
        <f t="shared" si="15"/>
        <v>0</v>
      </c>
    </row>
    <row r="242" spans="1:22" x14ac:dyDescent="0.35">
      <c r="A242" s="2">
        <v>45938</v>
      </c>
      <c r="B242" t="s">
        <v>145</v>
      </c>
      <c r="C242" s="5" t="s">
        <v>315</v>
      </c>
      <c r="F242" t="s">
        <v>56</v>
      </c>
      <c r="G242" t="s">
        <v>33</v>
      </c>
      <c r="H242" t="s">
        <v>272</v>
      </c>
      <c r="I242">
        <v>98430</v>
      </c>
      <c r="J242" s="8">
        <v>-0.06</v>
      </c>
      <c r="K242">
        <v>30</v>
      </c>
      <c r="M242">
        <f t="shared" si="12"/>
        <v>0</v>
      </c>
      <c r="N242" t="s">
        <v>52</v>
      </c>
      <c r="O242" t="s">
        <v>53</v>
      </c>
      <c r="P242">
        <v>100500</v>
      </c>
      <c r="R242" s="9">
        <v>0</v>
      </c>
      <c r="S242">
        <v>120</v>
      </c>
      <c r="T242" s="11">
        <f t="shared" si="13"/>
        <v>0</v>
      </c>
      <c r="U242" s="11">
        <f t="shared" si="14"/>
        <v>0</v>
      </c>
      <c r="V242" s="11">
        <f t="shared" si="15"/>
        <v>0</v>
      </c>
    </row>
    <row r="243" spans="1:22" x14ac:dyDescent="0.35">
      <c r="A243" s="2">
        <v>45938</v>
      </c>
      <c r="B243" t="s">
        <v>42</v>
      </c>
      <c r="D243" s="5" t="s">
        <v>316</v>
      </c>
      <c r="F243" t="s">
        <v>296</v>
      </c>
      <c r="G243" t="s">
        <v>50</v>
      </c>
      <c r="H243" t="s">
        <v>290</v>
      </c>
      <c r="I243">
        <v>28000</v>
      </c>
      <c r="J243" s="8">
        <v>-0.06</v>
      </c>
      <c r="K243">
        <v>30</v>
      </c>
      <c r="M243">
        <f t="shared" si="12"/>
        <v>0</v>
      </c>
      <c r="N243" t="s">
        <v>52</v>
      </c>
      <c r="O243" t="s">
        <v>53</v>
      </c>
      <c r="P243">
        <v>29900</v>
      </c>
      <c r="R243" s="9">
        <v>0</v>
      </c>
      <c r="S243">
        <v>120</v>
      </c>
      <c r="T243" s="11">
        <f t="shared" si="13"/>
        <v>0</v>
      </c>
      <c r="U243" s="11">
        <f t="shared" si="14"/>
        <v>0</v>
      </c>
      <c r="V243" s="11">
        <f t="shared" si="15"/>
        <v>0</v>
      </c>
    </row>
    <row r="244" spans="1:22" x14ac:dyDescent="0.35">
      <c r="A244" s="2">
        <v>45939</v>
      </c>
      <c r="B244" t="s">
        <v>42</v>
      </c>
      <c r="D244" s="5" t="s">
        <v>317</v>
      </c>
      <c r="F244" t="s">
        <v>296</v>
      </c>
      <c r="G244" t="s">
        <v>50</v>
      </c>
      <c r="H244" t="s">
        <v>290</v>
      </c>
      <c r="I244">
        <v>28000</v>
      </c>
      <c r="J244" s="8">
        <v>-0.06</v>
      </c>
      <c r="K244">
        <v>30</v>
      </c>
      <c r="M244">
        <f t="shared" si="12"/>
        <v>0</v>
      </c>
      <c r="N244" t="s">
        <v>52</v>
      </c>
      <c r="O244" t="s">
        <v>53</v>
      </c>
      <c r="P244">
        <v>29900</v>
      </c>
      <c r="R244" s="9">
        <v>0</v>
      </c>
      <c r="S244">
        <v>120</v>
      </c>
      <c r="T244" s="11">
        <f t="shared" si="13"/>
        <v>0</v>
      </c>
      <c r="U244" s="11">
        <f t="shared" si="14"/>
        <v>0</v>
      </c>
      <c r="V244" s="11">
        <f t="shared" si="15"/>
        <v>0</v>
      </c>
    </row>
    <row r="245" spans="1:22" x14ac:dyDescent="0.35">
      <c r="A245" s="2">
        <v>45940</v>
      </c>
      <c r="B245" t="s">
        <v>42</v>
      </c>
      <c r="D245" s="5" t="s">
        <v>318</v>
      </c>
      <c r="F245" t="s">
        <v>296</v>
      </c>
      <c r="G245" t="s">
        <v>50</v>
      </c>
      <c r="H245" t="s">
        <v>290</v>
      </c>
      <c r="I245">
        <v>28000</v>
      </c>
      <c r="J245" s="8">
        <v>-0.06</v>
      </c>
      <c r="K245">
        <v>30</v>
      </c>
      <c r="M245">
        <f t="shared" si="12"/>
        <v>0</v>
      </c>
      <c r="N245" t="s">
        <v>52</v>
      </c>
      <c r="O245" t="s">
        <v>53</v>
      </c>
      <c r="P245">
        <v>29900</v>
      </c>
      <c r="R245" s="9">
        <v>0</v>
      </c>
      <c r="S245">
        <v>120</v>
      </c>
      <c r="T245" s="11">
        <f t="shared" si="13"/>
        <v>0</v>
      </c>
      <c r="U245" s="11">
        <f t="shared" si="14"/>
        <v>0</v>
      </c>
      <c r="V245" s="11">
        <f t="shared" si="15"/>
        <v>0</v>
      </c>
    </row>
    <row r="246" spans="1:22" x14ac:dyDescent="0.35">
      <c r="A246" s="2">
        <v>45939</v>
      </c>
      <c r="B246" t="s">
        <v>42</v>
      </c>
      <c r="F246" t="s">
        <v>240</v>
      </c>
      <c r="G246" t="s">
        <v>44</v>
      </c>
      <c r="H246" t="s">
        <v>294</v>
      </c>
      <c r="I246">
        <v>38000</v>
      </c>
      <c r="J246" s="8">
        <v>-0.06</v>
      </c>
      <c r="K246">
        <v>30</v>
      </c>
      <c r="M246">
        <f t="shared" si="12"/>
        <v>0</v>
      </c>
      <c r="N246" t="s">
        <v>28</v>
      </c>
      <c r="O246" t="s">
        <v>80</v>
      </c>
      <c r="P246">
        <v>40000</v>
      </c>
      <c r="R246" s="9">
        <v>-0.06</v>
      </c>
      <c r="S246">
        <v>30</v>
      </c>
      <c r="T246" s="11">
        <f t="shared" si="13"/>
        <v>0</v>
      </c>
      <c r="U246" s="11">
        <f t="shared" si="14"/>
        <v>0</v>
      </c>
      <c r="V246" s="11">
        <f t="shared" si="15"/>
        <v>0</v>
      </c>
    </row>
    <row r="247" spans="1:22" x14ac:dyDescent="0.35">
      <c r="A247" s="2">
        <v>45939</v>
      </c>
      <c r="B247" t="s">
        <v>42</v>
      </c>
      <c r="F247" t="s">
        <v>240</v>
      </c>
      <c r="G247" t="s">
        <v>44</v>
      </c>
      <c r="H247" t="s">
        <v>305</v>
      </c>
      <c r="I247">
        <v>41000</v>
      </c>
      <c r="J247" s="8">
        <v>-0.03</v>
      </c>
      <c r="K247">
        <v>30</v>
      </c>
      <c r="M247">
        <f t="shared" si="12"/>
        <v>0</v>
      </c>
      <c r="N247" t="s">
        <v>52</v>
      </c>
      <c r="O247" t="s">
        <v>80</v>
      </c>
      <c r="P247">
        <v>38000</v>
      </c>
      <c r="R247" s="9">
        <v>-0.06</v>
      </c>
      <c r="S247">
        <v>30</v>
      </c>
      <c r="T247" s="11">
        <f t="shared" si="13"/>
        <v>0</v>
      </c>
      <c r="U247" s="11">
        <f t="shared" si="14"/>
        <v>0</v>
      </c>
      <c r="V247" s="11">
        <f t="shared" si="15"/>
        <v>0</v>
      </c>
    </row>
    <row r="248" spans="1:22" x14ac:dyDescent="0.35">
      <c r="A248" s="2">
        <v>45939</v>
      </c>
      <c r="B248" t="s">
        <v>42</v>
      </c>
      <c r="F248" t="s">
        <v>240</v>
      </c>
      <c r="G248" t="s">
        <v>44</v>
      </c>
      <c r="H248" t="s">
        <v>319</v>
      </c>
      <c r="I248">
        <v>38000</v>
      </c>
      <c r="J248" s="8">
        <v>-0.06</v>
      </c>
      <c r="K248">
        <v>30</v>
      </c>
      <c r="M248">
        <f t="shared" si="12"/>
        <v>0</v>
      </c>
      <c r="N248" t="s">
        <v>52</v>
      </c>
      <c r="O248" t="s">
        <v>80</v>
      </c>
      <c r="P248">
        <v>38000</v>
      </c>
      <c r="R248" s="9">
        <v>-0.06</v>
      </c>
      <c r="S248">
        <v>30</v>
      </c>
      <c r="T248" s="11">
        <f t="shared" si="13"/>
        <v>0</v>
      </c>
      <c r="U248" s="11">
        <f t="shared" si="14"/>
        <v>0</v>
      </c>
      <c r="V248" s="11">
        <f t="shared" si="15"/>
        <v>0</v>
      </c>
    </row>
    <row r="249" spans="1:22" x14ac:dyDescent="0.35">
      <c r="A249" s="2">
        <v>45939</v>
      </c>
      <c r="B249" t="s">
        <v>145</v>
      </c>
      <c r="C249" s="5" t="s">
        <v>320</v>
      </c>
      <c r="F249" t="s">
        <v>206</v>
      </c>
      <c r="G249" t="s">
        <v>33</v>
      </c>
      <c r="H249" t="s">
        <v>246</v>
      </c>
      <c r="I249">
        <v>37000</v>
      </c>
      <c r="J249" s="8">
        <v>-0.06</v>
      </c>
      <c r="K249">
        <v>30</v>
      </c>
      <c r="M249">
        <f t="shared" si="12"/>
        <v>0</v>
      </c>
      <c r="N249" t="s">
        <v>65</v>
      </c>
      <c r="O249" t="s">
        <v>35</v>
      </c>
      <c r="P249">
        <v>37000</v>
      </c>
      <c r="R249" s="9">
        <v>-0.06</v>
      </c>
      <c r="S249">
        <v>30</v>
      </c>
      <c r="T249" s="11">
        <f t="shared" si="13"/>
        <v>0</v>
      </c>
      <c r="U249" s="11">
        <f t="shared" si="14"/>
        <v>0</v>
      </c>
      <c r="V249" s="11">
        <f t="shared" si="15"/>
        <v>0</v>
      </c>
    </row>
    <row r="250" spans="1:22" x14ac:dyDescent="0.35">
      <c r="A250" s="2">
        <v>45939</v>
      </c>
      <c r="B250" t="s">
        <v>145</v>
      </c>
      <c r="C250" s="5" t="s">
        <v>321</v>
      </c>
      <c r="F250" t="s">
        <v>206</v>
      </c>
      <c r="G250" t="s">
        <v>33</v>
      </c>
      <c r="H250" t="s">
        <v>246</v>
      </c>
      <c r="I250">
        <v>34000</v>
      </c>
      <c r="J250" s="8">
        <v>-0.06</v>
      </c>
      <c r="K250">
        <v>30</v>
      </c>
      <c r="M250">
        <f t="shared" si="12"/>
        <v>0</v>
      </c>
      <c r="N250" t="s">
        <v>65</v>
      </c>
      <c r="O250" t="s">
        <v>35</v>
      </c>
      <c r="P250">
        <v>34000</v>
      </c>
      <c r="R250" s="9">
        <v>-0.06</v>
      </c>
      <c r="S250">
        <v>30</v>
      </c>
      <c r="T250" s="11">
        <f t="shared" si="13"/>
        <v>0</v>
      </c>
      <c r="U250" s="11">
        <f t="shared" si="14"/>
        <v>0</v>
      </c>
      <c r="V250" s="11">
        <f t="shared" si="15"/>
        <v>0</v>
      </c>
    </row>
    <row r="251" spans="1:22" x14ac:dyDescent="0.35">
      <c r="A251" s="2" t="s">
        <v>322</v>
      </c>
      <c r="B251" t="s">
        <v>145</v>
      </c>
      <c r="C251" s="5" t="s">
        <v>323</v>
      </c>
      <c r="D251"/>
      <c r="E251"/>
      <c r="F251" t="s">
        <v>206</v>
      </c>
      <c r="G251" t="s">
        <v>33</v>
      </c>
      <c r="H251" t="s">
        <v>324</v>
      </c>
      <c r="I251" t="s">
        <v>325</v>
      </c>
      <c r="J251" s="8">
        <v>-0.06</v>
      </c>
      <c r="K251" t="s">
        <v>280</v>
      </c>
      <c r="L251" t="s">
        <v>326</v>
      </c>
      <c r="M251">
        <f t="shared" si="12"/>
        <v>53110</v>
      </c>
      <c r="N251" t="s">
        <v>65</v>
      </c>
      <c r="O251" t="s">
        <v>35</v>
      </c>
      <c r="P251" t="s">
        <v>325</v>
      </c>
      <c r="R251" s="9" t="s">
        <v>279</v>
      </c>
      <c r="S251" t="s">
        <v>280</v>
      </c>
      <c r="T251" s="11">
        <f t="shared" si="13"/>
        <v>53110</v>
      </c>
      <c r="U251" s="11">
        <f t="shared" si="14"/>
        <v>0</v>
      </c>
      <c r="V251" s="11">
        <f t="shared" si="15"/>
        <v>53110</v>
      </c>
    </row>
    <row r="252" spans="1:22" x14ac:dyDescent="0.35">
      <c r="A252" s="2">
        <v>45939</v>
      </c>
      <c r="B252" t="s">
        <v>145</v>
      </c>
      <c r="C252" s="5" t="s">
        <v>310</v>
      </c>
      <c r="F252" t="s">
        <v>206</v>
      </c>
      <c r="G252" t="s">
        <v>33</v>
      </c>
      <c r="H252" t="s">
        <v>246</v>
      </c>
      <c r="I252">
        <v>41500</v>
      </c>
      <c r="J252" s="8">
        <v>-0.06</v>
      </c>
      <c r="K252">
        <v>30</v>
      </c>
      <c r="M252">
        <f t="shared" si="12"/>
        <v>0</v>
      </c>
      <c r="N252" t="s">
        <v>65</v>
      </c>
      <c r="O252" t="s">
        <v>53</v>
      </c>
      <c r="P252">
        <v>43750</v>
      </c>
      <c r="R252" s="9">
        <v>0</v>
      </c>
      <c r="S252">
        <v>120</v>
      </c>
      <c r="T252" s="11">
        <f t="shared" si="13"/>
        <v>0</v>
      </c>
      <c r="U252" s="11">
        <f t="shared" si="14"/>
        <v>0</v>
      </c>
      <c r="V252" s="11">
        <f t="shared" si="15"/>
        <v>0</v>
      </c>
    </row>
    <row r="253" spans="1:22" x14ac:dyDescent="0.35">
      <c r="A253" s="2">
        <v>45943</v>
      </c>
      <c r="B253" t="s">
        <v>54</v>
      </c>
      <c r="C253" s="5" t="s">
        <v>327</v>
      </c>
      <c r="F253" t="s">
        <v>56</v>
      </c>
      <c r="G253" t="s">
        <v>33</v>
      </c>
      <c r="H253" t="s">
        <v>195</v>
      </c>
      <c r="I253">
        <v>61000</v>
      </c>
      <c r="J253" s="8">
        <v>-0.06</v>
      </c>
      <c r="K253">
        <v>30</v>
      </c>
      <c r="M253">
        <f t="shared" si="12"/>
        <v>0</v>
      </c>
      <c r="N253" t="s">
        <v>28</v>
      </c>
      <c r="O253" t="s">
        <v>53</v>
      </c>
      <c r="P253">
        <v>65000</v>
      </c>
      <c r="R253" s="9">
        <v>0</v>
      </c>
      <c r="S253">
        <v>120</v>
      </c>
      <c r="T253" s="11">
        <f t="shared" si="13"/>
        <v>0</v>
      </c>
      <c r="U253" s="11">
        <f t="shared" si="14"/>
        <v>0</v>
      </c>
      <c r="V253" s="11">
        <f t="shared" si="15"/>
        <v>0</v>
      </c>
    </row>
    <row r="254" spans="1:22" x14ac:dyDescent="0.35">
      <c r="A254" s="2">
        <v>45943</v>
      </c>
      <c r="B254" t="s">
        <v>54</v>
      </c>
      <c r="C254" s="5" t="s">
        <v>327</v>
      </c>
      <c r="F254" t="s">
        <v>56</v>
      </c>
      <c r="G254" t="s">
        <v>33</v>
      </c>
      <c r="H254" t="s">
        <v>194</v>
      </c>
      <c r="I254">
        <v>63500</v>
      </c>
      <c r="J254" s="8">
        <v>-0.06</v>
      </c>
      <c r="K254">
        <v>30</v>
      </c>
      <c r="M254">
        <f t="shared" si="12"/>
        <v>0</v>
      </c>
      <c r="N254" t="s">
        <v>28</v>
      </c>
      <c r="O254" t="s">
        <v>53</v>
      </c>
      <c r="P254">
        <v>67000</v>
      </c>
      <c r="R254" s="9">
        <v>0</v>
      </c>
      <c r="S254">
        <v>120</v>
      </c>
      <c r="T254" s="11">
        <f t="shared" si="13"/>
        <v>0</v>
      </c>
      <c r="U254" s="11">
        <f t="shared" si="14"/>
        <v>0</v>
      </c>
      <c r="V254" s="11">
        <f t="shared" si="15"/>
        <v>0</v>
      </c>
    </row>
    <row r="255" spans="1:22" x14ac:dyDescent="0.35">
      <c r="A255" s="2">
        <v>45944</v>
      </c>
      <c r="B255" t="s">
        <v>145</v>
      </c>
      <c r="C255" s="5" t="s">
        <v>328</v>
      </c>
      <c r="F255" t="s">
        <v>56</v>
      </c>
      <c r="G255" t="s">
        <v>179</v>
      </c>
      <c r="H255" t="s">
        <v>161</v>
      </c>
      <c r="I255">
        <v>97000</v>
      </c>
      <c r="J255" s="8">
        <v>-0.06</v>
      </c>
      <c r="K255">
        <v>30</v>
      </c>
      <c r="M255">
        <f t="shared" si="12"/>
        <v>0</v>
      </c>
      <c r="N255" t="s">
        <v>28</v>
      </c>
      <c r="O255" t="s">
        <v>53</v>
      </c>
      <c r="P255">
        <v>100000</v>
      </c>
      <c r="R255" s="9">
        <v>0</v>
      </c>
      <c r="S255">
        <v>120</v>
      </c>
      <c r="T255" s="11">
        <f t="shared" si="13"/>
        <v>0</v>
      </c>
      <c r="U255" s="11">
        <f t="shared" si="14"/>
        <v>0</v>
      </c>
      <c r="V255" s="11">
        <f t="shared" si="15"/>
        <v>0</v>
      </c>
    </row>
    <row r="256" spans="1:22" x14ac:dyDescent="0.35">
      <c r="A256" s="2">
        <v>45944</v>
      </c>
      <c r="B256" t="s">
        <v>145</v>
      </c>
      <c r="C256" s="5" t="s">
        <v>328</v>
      </c>
      <c r="F256" t="s">
        <v>56</v>
      </c>
      <c r="G256" t="s">
        <v>179</v>
      </c>
      <c r="H256" t="s">
        <v>272</v>
      </c>
      <c r="I256">
        <v>97920</v>
      </c>
      <c r="J256" s="8">
        <v>-0.06</v>
      </c>
      <c r="K256">
        <v>30</v>
      </c>
      <c r="M256">
        <f t="shared" si="12"/>
        <v>0</v>
      </c>
      <c r="N256" t="s">
        <v>52</v>
      </c>
      <c r="O256" t="s">
        <v>53</v>
      </c>
      <c r="P256">
        <v>100000</v>
      </c>
      <c r="R256" s="9">
        <v>0</v>
      </c>
      <c r="S256">
        <v>120</v>
      </c>
      <c r="T256" s="11">
        <f t="shared" si="13"/>
        <v>0</v>
      </c>
      <c r="U256" s="11">
        <f t="shared" si="14"/>
        <v>0</v>
      </c>
      <c r="V256" s="11">
        <f t="shared" si="15"/>
        <v>0</v>
      </c>
    </row>
    <row r="257" spans="1:22" x14ac:dyDescent="0.35">
      <c r="A257" s="2">
        <v>45945</v>
      </c>
      <c r="B257" t="s">
        <v>42</v>
      </c>
      <c r="D257" s="5" t="s">
        <v>157</v>
      </c>
      <c r="F257" t="s">
        <v>296</v>
      </c>
      <c r="G257" t="s">
        <v>50</v>
      </c>
      <c r="H257" t="s">
        <v>290</v>
      </c>
      <c r="I257">
        <v>28300</v>
      </c>
      <c r="J257" s="8">
        <v>-0.06</v>
      </c>
      <c r="K257">
        <v>30</v>
      </c>
      <c r="M257">
        <f t="shared" si="12"/>
        <v>0</v>
      </c>
      <c r="N257" t="s">
        <v>52</v>
      </c>
      <c r="O257" t="s">
        <v>53</v>
      </c>
      <c r="P257">
        <v>29900</v>
      </c>
      <c r="R257" s="9">
        <v>0</v>
      </c>
      <c r="S257">
        <v>120</v>
      </c>
      <c r="T257" s="11">
        <f t="shared" si="13"/>
        <v>0</v>
      </c>
      <c r="U257" s="11">
        <f t="shared" si="14"/>
        <v>0</v>
      </c>
      <c r="V257" s="11">
        <f t="shared" si="15"/>
        <v>0</v>
      </c>
    </row>
    <row r="258" spans="1:22" x14ac:dyDescent="0.35">
      <c r="A258" s="2">
        <v>45945</v>
      </c>
      <c r="B258" t="s">
        <v>42</v>
      </c>
      <c r="D258" s="5" t="s">
        <v>231</v>
      </c>
      <c r="F258" t="s">
        <v>296</v>
      </c>
      <c r="G258" t="s">
        <v>50</v>
      </c>
      <c r="H258" t="s">
        <v>290</v>
      </c>
      <c r="I258">
        <v>28300</v>
      </c>
      <c r="J258" s="8">
        <v>-0.06</v>
      </c>
      <c r="K258">
        <v>30</v>
      </c>
      <c r="M258">
        <f t="shared" ref="M258:M263" si="16">((I258*J258)+I258)*L258</f>
        <v>0</v>
      </c>
      <c r="N258" t="s">
        <v>52</v>
      </c>
      <c r="O258" t="s">
        <v>53</v>
      </c>
      <c r="P258">
        <v>29900</v>
      </c>
      <c r="R258" s="9">
        <v>0</v>
      </c>
      <c r="S258">
        <v>120</v>
      </c>
      <c r="T258" s="11">
        <f t="shared" ref="T258:T321" si="17">((P258*R258)+P258)*L258</f>
        <v>0</v>
      </c>
      <c r="U258" s="11">
        <f t="shared" ref="U258:U321" si="18">T258-M258</f>
        <v>0</v>
      </c>
      <c r="V258" s="11">
        <f t="shared" ref="V258:V321" si="19">T258+Q258</f>
        <v>0</v>
      </c>
    </row>
    <row r="259" spans="1:22" x14ac:dyDescent="0.35">
      <c r="A259" s="2">
        <v>45945</v>
      </c>
      <c r="B259" t="s">
        <v>42</v>
      </c>
      <c r="D259" s="5" t="s">
        <v>329</v>
      </c>
      <c r="F259" t="s">
        <v>296</v>
      </c>
      <c r="G259" t="s">
        <v>50</v>
      </c>
      <c r="H259" t="s">
        <v>290</v>
      </c>
      <c r="I259">
        <v>32300</v>
      </c>
      <c r="J259" s="8">
        <v>-0.06</v>
      </c>
      <c r="K259">
        <v>30</v>
      </c>
      <c r="M259">
        <f t="shared" si="16"/>
        <v>0</v>
      </c>
      <c r="N259" t="s">
        <v>52</v>
      </c>
      <c r="O259" t="s">
        <v>53</v>
      </c>
      <c r="P259">
        <v>33000</v>
      </c>
      <c r="R259" s="9">
        <v>0</v>
      </c>
      <c r="S259">
        <v>120</v>
      </c>
      <c r="T259" s="11">
        <f t="shared" si="17"/>
        <v>0</v>
      </c>
      <c r="U259" s="11">
        <f t="shared" si="18"/>
        <v>0</v>
      </c>
      <c r="V259" s="11">
        <f t="shared" si="19"/>
        <v>0</v>
      </c>
    </row>
    <row r="260" spans="1:22" x14ac:dyDescent="0.35">
      <c r="A260" s="2">
        <v>45945</v>
      </c>
      <c r="B260" t="s">
        <v>42</v>
      </c>
      <c r="D260" s="5" t="s">
        <v>330</v>
      </c>
      <c r="F260" t="s">
        <v>296</v>
      </c>
      <c r="G260" t="s">
        <v>50</v>
      </c>
      <c r="H260" t="s">
        <v>290</v>
      </c>
      <c r="I260">
        <v>32300</v>
      </c>
      <c r="J260" s="8">
        <v>-0.06</v>
      </c>
      <c r="K260">
        <v>30</v>
      </c>
      <c r="M260">
        <f t="shared" si="16"/>
        <v>0</v>
      </c>
      <c r="N260" t="s">
        <v>52</v>
      </c>
      <c r="O260" t="s">
        <v>53</v>
      </c>
      <c r="P260">
        <v>33000</v>
      </c>
      <c r="R260" s="9">
        <v>0</v>
      </c>
      <c r="S260">
        <v>120</v>
      </c>
      <c r="T260" s="11">
        <f t="shared" si="17"/>
        <v>0</v>
      </c>
      <c r="U260" s="11">
        <f t="shared" si="18"/>
        <v>0</v>
      </c>
      <c r="V260" s="11">
        <f t="shared" si="19"/>
        <v>0</v>
      </c>
    </row>
    <row r="261" spans="1:22" x14ac:dyDescent="0.35">
      <c r="A261" s="2">
        <v>45945</v>
      </c>
      <c r="B261" t="s">
        <v>145</v>
      </c>
      <c r="C261" s="5" t="s">
        <v>331</v>
      </c>
      <c r="F261" t="s">
        <v>56</v>
      </c>
      <c r="G261" t="s">
        <v>33</v>
      </c>
      <c r="H261" t="s">
        <v>65</v>
      </c>
      <c r="I261">
        <v>43651</v>
      </c>
      <c r="J261" s="8">
        <v>-0.06</v>
      </c>
      <c r="K261">
        <v>30</v>
      </c>
      <c r="M261">
        <f t="shared" si="16"/>
        <v>0</v>
      </c>
      <c r="N261" t="s">
        <v>65</v>
      </c>
      <c r="O261" t="s">
        <v>53</v>
      </c>
      <c r="P261">
        <v>45000</v>
      </c>
      <c r="R261" s="9">
        <v>0</v>
      </c>
      <c r="S261">
        <v>120</v>
      </c>
      <c r="T261" s="11">
        <f t="shared" si="17"/>
        <v>0</v>
      </c>
      <c r="U261" s="11">
        <f t="shared" si="18"/>
        <v>0</v>
      </c>
      <c r="V261" s="11">
        <f t="shared" si="19"/>
        <v>0</v>
      </c>
    </row>
    <row r="262" spans="1:22" x14ac:dyDescent="0.35">
      <c r="A262" s="2">
        <v>45946</v>
      </c>
      <c r="B262" t="s">
        <v>42</v>
      </c>
      <c r="D262" s="5" t="s">
        <v>332</v>
      </c>
      <c r="F262" t="s">
        <v>49</v>
      </c>
      <c r="G262" t="s">
        <v>50</v>
      </c>
      <c r="H262" t="s">
        <v>51</v>
      </c>
      <c r="I262">
        <v>17000</v>
      </c>
      <c r="J262" s="8">
        <v>-0.09</v>
      </c>
      <c r="K262">
        <v>30</v>
      </c>
      <c r="M262">
        <f t="shared" si="16"/>
        <v>0</v>
      </c>
      <c r="N262" t="s">
        <v>52</v>
      </c>
      <c r="O262" t="s">
        <v>333</v>
      </c>
      <c r="P262">
        <v>17340</v>
      </c>
      <c r="R262" s="9">
        <v>-0.06</v>
      </c>
      <c r="S262">
        <v>30</v>
      </c>
      <c r="T262" s="11">
        <f t="shared" si="17"/>
        <v>0</v>
      </c>
      <c r="U262" s="11">
        <f t="shared" si="18"/>
        <v>0</v>
      </c>
      <c r="V262" s="11">
        <f t="shared" si="19"/>
        <v>0</v>
      </c>
    </row>
    <row r="263" spans="1:22" x14ac:dyDescent="0.35">
      <c r="A263" s="6" t="s">
        <v>334</v>
      </c>
      <c r="B263" t="s">
        <v>42</v>
      </c>
      <c r="D263" t="s">
        <v>335</v>
      </c>
      <c r="F263" t="s">
        <v>49</v>
      </c>
      <c r="G263" t="s">
        <v>50</v>
      </c>
      <c r="H263" t="s">
        <v>51</v>
      </c>
      <c r="I263" t="s">
        <v>336</v>
      </c>
      <c r="J263" s="8" t="s">
        <v>337</v>
      </c>
      <c r="K263" t="s">
        <v>338</v>
      </c>
      <c r="L263" s="13" t="s">
        <v>280</v>
      </c>
      <c r="M263">
        <f t="shared" si="16"/>
        <v>418950</v>
      </c>
      <c r="N263" t="s">
        <v>52</v>
      </c>
      <c r="O263" t="s">
        <v>53</v>
      </c>
      <c r="P263" t="s">
        <v>336</v>
      </c>
      <c r="R263" s="9" t="s">
        <v>339</v>
      </c>
      <c r="S263" t="s">
        <v>340</v>
      </c>
      <c r="T263" s="11">
        <f t="shared" si="17"/>
        <v>427500</v>
      </c>
      <c r="U263" s="11">
        <f t="shared" si="18"/>
        <v>8550</v>
      </c>
      <c r="V263" s="11">
        <f t="shared" si="19"/>
        <v>427500</v>
      </c>
    </row>
    <row r="264" spans="1:22" x14ac:dyDescent="0.35">
      <c r="A264" t="s">
        <v>341</v>
      </c>
      <c r="B264" t="s">
        <v>145</v>
      </c>
      <c r="H264" t="s">
        <v>307</v>
      </c>
      <c r="T264" s="11">
        <f t="shared" si="17"/>
        <v>0</v>
      </c>
      <c r="U264" s="11">
        <f t="shared" si="18"/>
        <v>0</v>
      </c>
      <c r="V264" s="11">
        <f t="shared" si="19"/>
        <v>0</v>
      </c>
    </row>
    <row r="265" spans="1:22" x14ac:dyDescent="0.35">
      <c r="A265" t="s">
        <v>341</v>
      </c>
      <c r="B265" t="s">
        <v>145</v>
      </c>
      <c r="C265" t="s">
        <v>342</v>
      </c>
      <c r="E265" t="s">
        <v>149</v>
      </c>
      <c r="F265" t="s">
        <v>56</v>
      </c>
      <c r="G265" t="s">
        <v>33</v>
      </c>
      <c r="H265" t="s">
        <v>307</v>
      </c>
      <c r="I265" t="s">
        <v>343</v>
      </c>
      <c r="J265" t="s">
        <v>344</v>
      </c>
      <c r="K265" t="s">
        <v>280</v>
      </c>
      <c r="L265" t="s">
        <v>345</v>
      </c>
      <c r="M265" t="s">
        <v>28</v>
      </c>
      <c r="N265" t="s">
        <v>53</v>
      </c>
      <c r="O265" t="s">
        <v>346</v>
      </c>
      <c r="Q265" t="s">
        <v>347</v>
      </c>
      <c r="R265" t="s">
        <v>348</v>
      </c>
      <c r="T265" s="11">
        <f t="shared" si="17"/>
        <v>0</v>
      </c>
      <c r="U265" s="11" t="e">
        <f t="shared" si="18"/>
        <v>#VALUE!</v>
      </c>
      <c r="V265" s="11">
        <f t="shared" si="19"/>
        <v>0</v>
      </c>
    </row>
    <row r="266" spans="1:22" x14ac:dyDescent="0.35">
      <c r="A266" t="s">
        <v>341</v>
      </c>
      <c r="B266" t="s">
        <v>145</v>
      </c>
      <c r="C266" t="s">
        <v>349</v>
      </c>
      <c r="F266" t="s">
        <v>56</v>
      </c>
      <c r="G266" t="s">
        <v>33</v>
      </c>
      <c r="H266" t="s">
        <v>241</v>
      </c>
      <c r="I266" t="s">
        <v>350</v>
      </c>
      <c r="J266" t="s">
        <v>344</v>
      </c>
      <c r="K266" t="s">
        <v>280</v>
      </c>
      <c r="L266" t="s">
        <v>351</v>
      </c>
      <c r="M266" t="s">
        <v>28</v>
      </c>
      <c r="N266" t="s">
        <v>53</v>
      </c>
      <c r="O266" t="s">
        <v>352</v>
      </c>
      <c r="Q266" t="s">
        <v>347</v>
      </c>
      <c r="R266" t="s">
        <v>348</v>
      </c>
      <c r="T266" s="11">
        <f t="shared" si="17"/>
        <v>0</v>
      </c>
      <c r="U266" s="11" t="e">
        <f t="shared" si="18"/>
        <v>#VALUE!</v>
      </c>
      <c r="V266" s="11">
        <f t="shared" si="19"/>
        <v>0</v>
      </c>
    </row>
    <row r="267" spans="1:22" x14ac:dyDescent="0.35">
      <c r="A267" t="s">
        <v>353</v>
      </c>
      <c r="B267" t="s">
        <v>37</v>
      </c>
      <c r="C267" t="s">
        <v>354</v>
      </c>
      <c r="F267" t="s">
        <v>56</v>
      </c>
      <c r="G267" t="s">
        <v>33</v>
      </c>
      <c r="H267" t="s">
        <v>241</v>
      </c>
      <c r="I267" t="s">
        <v>350</v>
      </c>
      <c r="T267" s="11">
        <f t="shared" si="17"/>
        <v>0</v>
      </c>
      <c r="U267" s="11">
        <f t="shared" si="18"/>
        <v>0</v>
      </c>
      <c r="V267" s="11">
        <f t="shared" si="19"/>
        <v>0</v>
      </c>
    </row>
    <row r="268" spans="1:22" x14ac:dyDescent="0.35">
      <c r="A268" t="s">
        <v>353</v>
      </c>
      <c r="B268" t="s">
        <v>145</v>
      </c>
      <c r="T268" s="11">
        <f t="shared" si="17"/>
        <v>0</v>
      </c>
      <c r="U268" s="11">
        <f t="shared" si="18"/>
        <v>0</v>
      </c>
      <c r="V268" s="11">
        <f t="shared" si="19"/>
        <v>0</v>
      </c>
    </row>
    <row r="269" spans="1:22" x14ac:dyDescent="0.35">
      <c r="A269" t="s">
        <v>353</v>
      </c>
      <c r="B269" t="s">
        <v>145</v>
      </c>
      <c r="C269" t="s">
        <v>355</v>
      </c>
      <c r="E269" t="s">
        <v>149</v>
      </c>
      <c r="F269" t="s">
        <v>56</v>
      </c>
      <c r="G269" t="s">
        <v>33</v>
      </c>
      <c r="H269" t="s">
        <v>307</v>
      </c>
      <c r="I269" t="s">
        <v>350</v>
      </c>
      <c r="J269" t="s">
        <v>344</v>
      </c>
      <c r="K269" t="s">
        <v>280</v>
      </c>
      <c r="L269" t="s">
        <v>345</v>
      </c>
      <c r="M269">
        <f t="shared" ref="M269:M300" si="20">((I269*J269)+I269)*L269</f>
        <v>24440</v>
      </c>
      <c r="N269" t="s">
        <v>28</v>
      </c>
      <c r="O269" t="s">
        <v>53</v>
      </c>
      <c r="P269" t="s">
        <v>352</v>
      </c>
      <c r="R269" t="s">
        <v>347</v>
      </c>
      <c r="S269" t="s">
        <v>348</v>
      </c>
      <c r="T269" s="11">
        <f t="shared" si="17"/>
        <v>27040</v>
      </c>
      <c r="U269" s="11">
        <f t="shared" si="18"/>
        <v>2600</v>
      </c>
      <c r="V269" s="11">
        <f t="shared" si="19"/>
        <v>27040</v>
      </c>
    </row>
    <row r="270" spans="1:22" x14ac:dyDescent="0.35">
      <c r="M270">
        <f t="shared" si="20"/>
        <v>0</v>
      </c>
      <c r="T270" s="11">
        <f t="shared" si="17"/>
        <v>0</v>
      </c>
      <c r="U270" s="11">
        <f t="shared" si="18"/>
        <v>0</v>
      </c>
      <c r="V270" s="11">
        <f t="shared" si="19"/>
        <v>0</v>
      </c>
    </row>
    <row r="271" spans="1:22" x14ac:dyDescent="0.35">
      <c r="M271">
        <f t="shared" si="20"/>
        <v>0</v>
      </c>
      <c r="T271" s="11">
        <f t="shared" si="17"/>
        <v>0</v>
      </c>
      <c r="U271" s="11">
        <f t="shared" si="18"/>
        <v>0</v>
      </c>
      <c r="V271" s="11">
        <f t="shared" si="19"/>
        <v>0</v>
      </c>
    </row>
    <row r="272" spans="1:22" x14ac:dyDescent="0.35">
      <c r="M272">
        <f t="shared" si="20"/>
        <v>0</v>
      </c>
      <c r="T272" s="11">
        <f t="shared" si="17"/>
        <v>0</v>
      </c>
      <c r="U272" s="11">
        <f t="shared" si="18"/>
        <v>0</v>
      </c>
      <c r="V272" s="11">
        <f t="shared" si="19"/>
        <v>0</v>
      </c>
    </row>
    <row r="273" spans="13:22" x14ac:dyDescent="0.35">
      <c r="M273">
        <f t="shared" si="20"/>
        <v>0</v>
      </c>
      <c r="T273" s="11">
        <f t="shared" si="17"/>
        <v>0</v>
      </c>
      <c r="U273" s="11">
        <f t="shared" si="18"/>
        <v>0</v>
      </c>
      <c r="V273" s="11">
        <f t="shared" si="19"/>
        <v>0</v>
      </c>
    </row>
    <row r="274" spans="13:22" x14ac:dyDescent="0.35">
      <c r="M274">
        <f t="shared" si="20"/>
        <v>0</v>
      </c>
      <c r="T274" s="11">
        <f t="shared" si="17"/>
        <v>0</v>
      </c>
      <c r="U274" s="11">
        <f t="shared" si="18"/>
        <v>0</v>
      </c>
      <c r="V274" s="11">
        <f t="shared" si="19"/>
        <v>0</v>
      </c>
    </row>
    <row r="275" spans="13:22" x14ac:dyDescent="0.35">
      <c r="M275">
        <f t="shared" si="20"/>
        <v>0</v>
      </c>
      <c r="T275" s="11">
        <f t="shared" si="17"/>
        <v>0</v>
      </c>
      <c r="U275" s="11">
        <f t="shared" si="18"/>
        <v>0</v>
      </c>
      <c r="V275" s="11">
        <f t="shared" si="19"/>
        <v>0</v>
      </c>
    </row>
    <row r="276" spans="13:22" x14ac:dyDescent="0.35">
      <c r="M276">
        <f t="shared" si="20"/>
        <v>0</v>
      </c>
      <c r="T276" s="11">
        <f t="shared" si="17"/>
        <v>0</v>
      </c>
      <c r="U276" s="11">
        <f t="shared" si="18"/>
        <v>0</v>
      </c>
      <c r="V276" s="11">
        <f t="shared" si="19"/>
        <v>0</v>
      </c>
    </row>
    <row r="277" spans="13:22" x14ac:dyDescent="0.35">
      <c r="M277">
        <f t="shared" si="20"/>
        <v>0</v>
      </c>
      <c r="T277" s="11">
        <f t="shared" si="17"/>
        <v>0</v>
      </c>
      <c r="U277" s="11">
        <f t="shared" si="18"/>
        <v>0</v>
      </c>
      <c r="V277" s="11">
        <f t="shared" si="19"/>
        <v>0</v>
      </c>
    </row>
    <row r="278" spans="13:22" x14ac:dyDescent="0.35">
      <c r="M278">
        <f t="shared" si="20"/>
        <v>0</v>
      </c>
      <c r="T278" s="11">
        <f t="shared" si="17"/>
        <v>0</v>
      </c>
      <c r="U278" s="11">
        <f t="shared" si="18"/>
        <v>0</v>
      </c>
      <c r="V278" s="11">
        <f t="shared" si="19"/>
        <v>0</v>
      </c>
    </row>
    <row r="279" spans="13:22" x14ac:dyDescent="0.35">
      <c r="M279">
        <f t="shared" si="20"/>
        <v>0</v>
      </c>
      <c r="T279" s="11">
        <f t="shared" si="17"/>
        <v>0</v>
      </c>
      <c r="U279" s="11">
        <f t="shared" si="18"/>
        <v>0</v>
      </c>
      <c r="V279" s="11">
        <f t="shared" si="19"/>
        <v>0</v>
      </c>
    </row>
    <row r="280" spans="13:22" x14ac:dyDescent="0.35">
      <c r="M280">
        <f t="shared" si="20"/>
        <v>0</v>
      </c>
      <c r="T280" s="11">
        <f t="shared" si="17"/>
        <v>0</v>
      </c>
      <c r="U280" s="11">
        <f t="shared" si="18"/>
        <v>0</v>
      </c>
      <c r="V280" s="11">
        <f t="shared" si="19"/>
        <v>0</v>
      </c>
    </row>
    <row r="281" spans="13:22" x14ac:dyDescent="0.35">
      <c r="M281">
        <f t="shared" si="20"/>
        <v>0</v>
      </c>
      <c r="T281" s="11">
        <f t="shared" si="17"/>
        <v>0</v>
      </c>
      <c r="U281" s="11">
        <f t="shared" si="18"/>
        <v>0</v>
      </c>
      <c r="V281" s="11">
        <f t="shared" si="19"/>
        <v>0</v>
      </c>
    </row>
    <row r="282" spans="13:22" x14ac:dyDescent="0.35">
      <c r="M282">
        <f t="shared" si="20"/>
        <v>0</v>
      </c>
      <c r="T282" s="11">
        <f t="shared" si="17"/>
        <v>0</v>
      </c>
      <c r="U282" s="11">
        <f t="shared" si="18"/>
        <v>0</v>
      </c>
      <c r="V282" s="11">
        <f t="shared" si="19"/>
        <v>0</v>
      </c>
    </row>
    <row r="283" spans="13:22" x14ac:dyDescent="0.35">
      <c r="M283">
        <f t="shared" si="20"/>
        <v>0</v>
      </c>
      <c r="T283" s="11">
        <f t="shared" si="17"/>
        <v>0</v>
      </c>
      <c r="U283" s="11">
        <f t="shared" si="18"/>
        <v>0</v>
      </c>
      <c r="V283" s="11">
        <f t="shared" si="19"/>
        <v>0</v>
      </c>
    </row>
    <row r="284" spans="13:22" x14ac:dyDescent="0.35">
      <c r="M284">
        <f t="shared" si="20"/>
        <v>0</v>
      </c>
      <c r="T284" s="11">
        <f t="shared" si="17"/>
        <v>0</v>
      </c>
      <c r="U284" s="11">
        <f t="shared" si="18"/>
        <v>0</v>
      </c>
      <c r="V284" s="11">
        <f t="shared" si="19"/>
        <v>0</v>
      </c>
    </row>
    <row r="285" spans="13:22" x14ac:dyDescent="0.35">
      <c r="M285">
        <f t="shared" si="20"/>
        <v>0</v>
      </c>
      <c r="T285" s="11">
        <f t="shared" si="17"/>
        <v>0</v>
      </c>
      <c r="U285" s="11">
        <f t="shared" si="18"/>
        <v>0</v>
      </c>
      <c r="V285" s="11">
        <f t="shared" si="19"/>
        <v>0</v>
      </c>
    </row>
    <row r="286" spans="13:22" x14ac:dyDescent="0.35">
      <c r="M286">
        <f t="shared" si="20"/>
        <v>0</v>
      </c>
      <c r="T286" s="11">
        <f t="shared" si="17"/>
        <v>0</v>
      </c>
      <c r="U286" s="11">
        <f t="shared" si="18"/>
        <v>0</v>
      </c>
      <c r="V286" s="11">
        <f t="shared" si="19"/>
        <v>0</v>
      </c>
    </row>
    <row r="287" spans="13:22" x14ac:dyDescent="0.35">
      <c r="M287">
        <f t="shared" si="20"/>
        <v>0</v>
      </c>
      <c r="T287" s="11">
        <f t="shared" si="17"/>
        <v>0</v>
      </c>
      <c r="U287" s="11">
        <f t="shared" si="18"/>
        <v>0</v>
      </c>
      <c r="V287" s="11">
        <f t="shared" si="19"/>
        <v>0</v>
      </c>
    </row>
    <row r="288" spans="13:22" x14ac:dyDescent="0.35">
      <c r="M288">
        <f t="shared" si="20"/>
        <v>0</v>
      </c>
      <c r="T288" s="11">
        <f t="shared" si="17"/>
        <v>0</v>
      </c>
      <c r="U288" s="11">
        <f t="shared" si="18"/>
        <v>0</v>
      </c>
      <c r="V288" s="11">
        <f t="shared" si="19"/>
        <v>0</v>
      </c>
    </row>
    <row r="289" spans="13:22" x14ac:dyDescent="0.35">
      <c r="M289">
        <f t="shared" si="20"/>
        <v>0</v>
      </c>
      <c r="T289" s="11">
        <f t="shared" si="17"/>
        <v>0</v>
      </c>
      <c r="U289" s="11">
        <f t="shared" si="18"/>
        <v>0</v>
      </c>
      <c r="V289" s="11">
        <f t="shared" si="19"/>
        <v>0</v>
      </c>
    </row>
    <row r="290" spans="13:22" x14ac:dyDescent="0.35">
      <c r="M290">
        <f t="shared" si="20"/>
        <v>0</v>
      </c>
      <c r="T290" s="11">
        <f t="shared" si="17"/>
        <v>0</v>
      </c>
      <c r="U290" s="11">
        <f t="shared" si="18"/>
        <v>0</v>
      </c>
      <c r="V290" s="11">
        <f t="shared" si="19"/>
        <v>0</v>
      </c>
    </row>
    <row r="291" spans="13:22" x14ac:dyDescent="0.35">
      <c r="M291">
        <f t="shared" si="20"/>
        <v>0</v>
      </c>
      <c r="T291" s="11">
        <f t="shared" si="17"/>
        <v>0</v>
      </c>
      <c r="U291" s="11">
        <f t="shared" si="18"/>
        <v>0</v>
      </c>
      <c r="V291" s="11">
        <f t="shared" si="19"/>
        <v>0</v>
      </c>
    </row>
    <row r="292" spans="13:22" x14ac:dyDescent="0.35">
      <c r="M292">
        <f t="shared" si="20"/>
        <v>0</v>
      </c>
      <c r="T292" s="11">
        <f t="shared" si="17"/>
        <v>0</v>
      </c>
      <c r="U292" s="11">
        <f t="shared" si="18"/>
        <v>0</v>
      </c>
      <c r="V292" s="11">
        <f t="shared" si="19"/>
        <v>0</v>
      </c>
    </row>
    <row r="293" spans="13:22" x14ac:dyDescent="0.35">
      <c r="M293">
        <f t="shared" si="20"/>
        <v>0</v>
      </c>
      <c r="T293" s="11">
        <f t="shared" si="17"/>
        <v>0</v>
      </c>
      <c r="U293" s="11">
        <f t="shared" si="18"/>
        <v>0</v>
      </c>
      <c r="V293" s="11">
        <f t="shared" si="19"/>
        <v>0</v>
      </c>
    </row>
    <row r="294" spans="13:22" x14ac:dyDescent="0.35">
      <c r="M294">
        <f t="shared" si="20"/>
        <v>0</v>
      </c>
      <c r="T294" s="11">
        <f t="shared" si="17"/>
        <v>0</v>
      </c>
      <c r="U294" s="11">
        <f t="shared" si="18"/>
        <v>0</v>
      </c>
      <c r="V294" s="11">
        <f t="shared" si="19"/>
        <v>0</v>
      </c>
    </row>
    <row r="295" spans="13:22" x14ac:dyDescent="0.35">
      <c r="M295">
        <f t="shared" si="20"/>
        <v>0</v>
      </c>
      <c r="T295" s="11">
        <f t="shared" si="17"/>
        <v>0</v>
      </c>
      <c r="U295" s="11">
        <f t="shared" si="18"/>
        <v>0</v>
      </c>
      <c r="V295" s="11">
        <f t="shared" si="19"/>
        <v>0</v>
      </c>
    </row>
    <row r="296" spans="13:22" x14ac:dyDescent="0.35">
      <c r="M296">
        <f t="shared" si="20"/>
        <v>0</v>
      </c>
      <c r="T296" s="11">
        <f t="shared" si="17"/>
        <v>0</v>
      </c>
      <c r="U296" s="11">
        <f t="shared" si="18"/>
        <v>0</v>
      </c>
      <c r="V296" s="11">
        <f t="shared" si="19"/>
        <v>0</v>
      </c>
    </row>
    <row r="297" spans="13:22" x14ac:dyDescent="0.35">
      <c r="M297">
        <f t="shared" si="20"/>
        <v>0</v>
      </c>
      <c r="T297" s="11">
        <f t="shared" si="17"/>
        <v>0</v>
      </c>
      <c r="U297" s="11">
        <f t="shared" si="18"/>
        <v>0</v>
      </c>
      <c r="V297" s="11">
        <f t="shared" si="19"/>
        <v>0</v>
      </c>
    </row>
    <row r="298" spans="13:22" x14ac:dyDescent="0.35">
      <c r="M298">
        <f t="shared" si="20"/>
        <v>0</v>
      </c>
      <c r="T298" s="11">
        <f t="shared" si="17"/>
        <v>0</v>
      </c>
      <c r="U298" s="11">
        <f t="shared" si="18"/>
        <v>0</v>
      </c>
      <c r="V298" s="11">
        <f t="shared" si="19"/>
        <v>0</v>
      </c>
    </row>
    <row r="299" spans="13:22" x14ac:dyDescent="0.35">
      <c r="M299">
        <f t="shared" si="20"/>
        <v>0</v>
      </c>
      <c r="T299" s="11">
        <f t="shared" si="17"/>
        <v>0</v>
      </c>
      <c r="U299" s="11">
        <f t="shared" si="18"/>
        <v>0</v>
      </c>
      <c r="V299" s="11">
        <f t="shared" si="19"/>
        <v>0</v>
      </c>
    </row>
    <row r="300" spans="13:22" x14ac:dyDescent="0.35">
      <c r="M300">
        <f t="shared" si="20"/>
        <v>0</v>
      </c>
      <c r="T300" s="11">
        <f t="shared" si="17"/>
        <v>0</v>
      </c>
      <c r="U300" s="11">
        <f t="shared" si="18"/>
        <v>0</v>
      </c>
      <c r="V300" s="11">
        <f t="shared" si="19"/>
        <v>0</v>
      </c>
    </row>
    <row r="301" spans="13:22" x14ac:dyDescent="0.35">
      <c r="M301">
        <f t="shared" ref="M301:M332" si="21">((I301*J301)+I301)*L301</f>
        <v>0</v>
      </c>
      <c r="T301" s="11">
        <f t="shared" si="17"/>
        <v>0</v>
      </c>
      <c r="U301" s="11">
        <f t="shared" si="18"/>
        <v>0</v>
      </c>
      <c r="V301" s="11">
        <f t="shared" si="19"/>
        <v>0</v>
      </c>
    </row>
    <row r="302" spans="13:22" x14ac:dyDescent="0.35">
      <c r="M302">
        <f t="shared" si="21"/>
        <v>0</v>
      </c>
      <c r="T302" s="11">
        <f t="shared" si="17"/>
        <v>0</v>
      </c>
      <c r="U302" s="11">
        <f t="shared" si="18"/>
        <v>0</v>
      </c>
      <c r="V302" s="11">
        <f t="shared" si="19"/>
        <v>0</v>
      </c>
    </row>
    <row r="303" spans="13:22" x14ac:dyDescent="0.35">
      <c r="M303">
        <f t="shared" si="21"/>
        <v>0</v>
      </c>
      <c r="T303" s="11">
        <f t="shared" si="17"/>
        <v>0</v>
      </c>
      <c r="U303" s="11">
        <f t="shared" si="18"/>
        <v>0</v>
      </c>
      <c r="V303" s="11">
        <f t="shared" si="19"/>
        <v>0</v>
      </c>
    </row>
    <row r="304" spans="13:22" x14ac:dyDescent="0.35">
      <c r="M304">
        <f t="shared" si="21"/>
        <v>0</v>
      </c>
      <c r="T304" s="11">
        <f t="shared" si="17"/>
        <v>0</v>
      </c>
      <c r="U304" s="11">
        <f t="shared" si="18"/>
        <v>0</v>
      </c>
      <c r="V304" s="11">
        <f t="shared" si="19"/>
        <v>0</v>
      </c>
    </row>
    <row r="305" spans="13:22" x14ac:dyDescent="0.35">
      <c r="M305">
        <f t="shared" si="21"/>
        <v>0</v>
      </c>
      <c r="T305" s="11">
        <f t="shared" si="17"/>
        <v>0</v>
      </c>
      <c r="U305" s="11">
        <f t="shared" si="18"/>
        <v>0</v>
      </c>
      <c r="V305" s="11">
        <f t="shared" si="19"/>
        <v>0</v>
      </c>
    </row>
    <row r="306" spans="13:22" x14ac:dyDescent="0.35">
      <c r="M306">
        <f t="shared" si="21"/>
        <v>0</v>
      </c>
      <c r="T306" s="11">
        <f t="shared" si="17"/>
        <v>0</v>
      </c>
      <c r="U306" s="11">
        <f t="shared" si="18"/>
        <v>0</v>
      </c>
      <c r="V306" s="11">
        <f t="shared" si="19"/>
        <v>0</v>
      </c>
    </row>
    <row r="307" spans="13:22" x14ac:dyDescent="0.35">
      <c r="M307">
        <f t="shared" si="21"/>
        <v>0</v>
      </c>
      <c r="T307" s="11">
        <f t="shared" si="17"/>
        <v>0</v>
      </c>
      <c r="U307" s="11">
        <f t="shared" si="18"/>
        <v>0</v>
      </c>
      <c r="V307" s="11">
        <f t="shared" si="19"/>
        <v>0</v>
      </c>
    </row>
    <row r="308" spans="13:22" x14ac:dyDescent="0.35">
      <c r="M308">
        <f t="shared" si="21"/>
        <v>0</v>
      </c>
      <c r="T308" s="11">
        <f t="shared" si="17"/>
        <v>0</v>
      </c>
      <c r="U308" s="11">
        <f t="shared" si="18"/>
        <v>0</v>
      </c>
      <c r="V308" s="11">
        <f t="shared" si="19"/>
        <v>0</v>
      </c>
    </row>
    <row r="309" spans="13:22" x14ac:dyDescent="0.35">
      <c r="M309">
        <f t="shared" si="21"/>
        <v>0</v>
      </c>
      <c r="T309" s="11">
        <f t="shared" si="17"/>
        <v>0</v>
      </c>
      <c r="U309" s="11">
        <f t="shared" si="18"/>
        <v>0</v>
      </c>
      <c r="V309" s="11">
        <f t="shared" si="19"/>
        <v>0</v>
      </c>
    </row>
    <row r="310" spans="13:22" x14ac:dyDescent="0.35">
      <c r="M310">
        <f t="shared" si="21"/>
        <v>0</v>
      </c>
      <c r="T310" s="11">
        <f t="shared" si="17"/>
        <v>0</v>
      </c>
      <c r="U310" s="11">
        <f t="shared" si="18"/>
        <v>0</v>
      </c>
      <c r="V310" s="11">
        <f t="shared" si="19"/>
        <v>0</v>
      </c>
    </row>
    <row r="311" spans="13:22" x14ac:dyDescent="0.35">
      <c r="M311">
        <f t="shared" si="21"/>
        <v>0</v>
      </c>
      <c r="T311" s="11">
        <f t="shared" si="17"/>
        <v>0</v>
      </c>
      <c r="U311" s="11">
        <f t="shared" si="18"/>
        <v>0</v>
      </c>
      <c r="V311" s="11">
        <f t="shared" si="19"/>
        <v>0</v>
      </c>
    </row>
    <row r="312" spans="13:22" x14ac:dyDescent="0.35">
      <c r="M312">
        <f t="shared" si="21"/>
        <v>0</v>
      </c>
      <c r="T312" s="11">
        <f t="shared" si="17"/>
        <v>0</v>
      </c>
      <c r="U312" s="11">
        <f t="shared" si="18"/>
        <v>0</v>
      </c>
      <c r="V312" s="11">
        <f t="shared" si="19"/>
        <v>0</v>
      </c>
    </row>
    <row r="313" spans="13:22" x14ac:dyDescent="0.35">
      <c r="M313">
        <f t="shared" si="21"/>
        <v>0</v>
      </c>
      <c r="T313" s="11">
        <f t="shared" si="17"/>
        <v>0</v>
      </c>
      <c r="U313" s="11">
        <f t="shared" si="18"/>
        <v>0</v>
      </c>
      <c r="V313" s="11">
        <f t="shared" si="19"/>
        <v>0</v>
      </c>
    </row>
    <row r="314" spans="13:22" x14ac:dyDescent="0.35">
      <c r="M314">
        <f t="shared" si="21"/>
        <v>0</v>
      </c>
      <c r="T314" s="11">
        <f t="shared" si="17"/>
        <v>0</v>
      </c>
      <c r="U314" s="11">
        <f t="shared" si="18"/>
        <v>0</v>
      </c>
      <c r="V314" s="11">
        <f t="shared" si="19"/>
        <v>0</v>
      </c>
    </row>
    <row r="315" spans="13:22" x14ac:dyDescent="0.35">
      <c r="M315">
        <f t="shared" si="21"/>
        <v>0</v>
      </c>
      <c r="T315" s="11">
        <f t="shared" si="17"/>
        <v>0</v>
      </c>
      <c r="U315" s="11">
        <f t="shared" si="18"/>
        <v>0</v>
      </c>
      <c r="V315" s="11">
        <f t="shared" si="19"/>
        <v>0</v>
      </c>
    </row>
    <row r="316" spans="13:22" x14ac:dyDescent="0.35">
      <c r="M316">
        <f t="shared" si="21"/>
        <v>0</v>
      </c>
      <c r="T316" s="11">
        <f t="shared" si="17"/>
        <v>0</v>
      </c>
      <c r="U316" s="11">
        <f t="shared" si="18"/>
        <v>0</v>
      </c>
      <c r="V316" s="11">
        <f t="shared" si="19"/>
        <v>0</v>
      </c>
    </row>
    <row r="317" spans="13:22" x14ac:dyDescent="0.35">
      <c r="M317">
        <f t="shared" si="21"/>
        <v>0</v>
      </c>
      <c r="T317" s="11">
        <f t="shared" si="17"/>
        <v>0</v>
      </c>
      <c r="U317" s="11">
        <f t="shared" si="18"/>
        <v>0</v>
      </c>
      <c r="V317" s="11">
        <f t="shared" si="19"/>
        <v>0</v>
      </c>
    </row>
    <row r="318" spans="13:22" x14ac:dyDescent="0.35">
      <c r="M318">
        <f t="shared" si="21"/>
        <v>0</v>
      </c>
      <c r="T318" s="11">
        <f t="shared" si="17"/>
        <v>0</v>
      </c>
      <c r="U318" s="11">
        <f t="shared" si="18"/>
        <v>0</v>
      </c>
      <c r="V318" s="11">
        <f t="shared" si="19"/>
        <v>0</v>
      </c>
    </row>
    <row r="319" spans="13:22" x14ac:dyDescent="0.35">
      <c r="M319">
        <f t="shared" si="21"/>
        <v>0</v>
      </c>
      <c r="T319" s="11">
        <f t="shared" si="17"/>
        <v>0</v>
      </c>
      <c r="U319" s="11">
        <f t="shared" si="18"/>
        <v>0</v>
      </c>
      <c r="V319" s="11">
        <f t="shared" si="19"/>
        <v>0</v>
      </c>
    </row>
    <row r="320" spans="13:22" x14ac:dyDescent="0.35">
      <c r="M320">
        <f t="shared" si="21"/>
        <v>0</v>
      </c>
      <c r="T320" s="11">
        <f t="shared" si="17"/>
        <v>0</v>
      </c>
      <c r="U320" s="11">
        <f t="shared" si="18"/>
        <v>0</v>
      </c>
      <c r="V320" s="11">
        <f t="shared" si="19"/>
        <v>0</v>
      </c>
    </row>
    <row r="321" spans="13:22" x14ac:dyDescent="0.35">
      <c r="M321">
        <f t="shared" si="21"/>
        <v>0</v>
      </c>
      <c r="T321" s="11">
        <f t="shared" si="17"/>
        <v>0</v>
      </c>
      <c r="U321" s="11">
        <f t="shared" si="18"/>
        <v>0</v>
      </c>
      <c r="V321" s="11">
        <f t="shared" si="19"/>
        <v>0</v>
      </c>
    </row>
    <row r="322" spans="13:22" x14ac:dyDescent="0.35">
      <c r="M322">
        <f t="shared" si="21"/>
        <v>0</v>
      </c>
      <c r="T322" s="11">
        <f t="shared" ref="T322:T372" si="22">((P322*R322)+P322)*L322</f>
        <v>0</v>
      </c>
      <c r="U322" s="11">
        <f t="shared" ref="U322:U372" si="23">T322-M322</f>
        <v>0</v>
      </c>
      <c r="V322" s="11">
        <f t="shared" ref="V322:V372" si="24">T322+Q322</f>
        <v>0</v>
      </c>
    </row>
    <row r="323" spans="13:22" x14ac:dyDescent="0.35">
      <c r="M323">
        <f t="shared" si="21"/>
        <v>0</v>
      </c>
      <c r="T323" s="11">
        <f t="shared" si="22"/>
        <v>0</v>
      </c>
      <c r="U323" s="11">
        <f t="shared" si="23"/>
        <v>0</v>
      </c>
      <c r="V323" s="11">
        <f t="shared" si="24"/>
        <v>0</v>
      </c>
    </row>
    <row r="324" spans="13:22" x14ac:dyDescent="0.35">
      <c r="M324">
        <f t="shared" si="21"/>
        <v>0</v>
      </c>
      <c r="T324" s="11">
        <f t="shared" si="22"/>
        <v>0</v>
      </c>
      <c r="U324" s="11">
        <f t="shared" si="23"/>
        <v>0</v>
      </c>
      <c r="V324" s="11">
        <f t="shared" si="24"/>
        <v>0</v>
      </c>
    </row>
    <row r="325" spans="13:22" x14ac:dyDescent="0.35">
      <c r="M325">
        <f t="shared" si="21"/>
        <v>0</v>
      </c>
      <c r="T325" s="11">
        <f t="shared" si="22"/>
        <v>0</v>
      </c>
      <c r="U325" s="11">
        <f t="shared" si="23"/>
        <v>0</v>
      </c>
      <c r="V325" s="11">
        <f t="shared" si="24"/>
        <v>0</v>
      </c>
    </row>
    <row r="326" spans="13:22" x14ac:dyDescent="0.35">
      <c r="M326">
        <f t="shared" si="21"/>
        <v>0</v>
      </c>
      <c r="T326" s="11">
        <f t="shared" si="22"/>
        <v>0</v>
      </c>
      <c r="U326" s="11">
        <f t="shared" si="23"/>
        <v>0</v>
      </c>
      <c r="V326" s="11">
        <f t="shared" si="24"/>
        <v>0</v>
      </c>
    </row>
    <row r="327" spans="13:22" x14ac:dyDescent="0.35">
      <c r="M327">
        <f t="shared" si="21"/>
        <v>0</v>
      </c>
      <c r="T327" s="11">
        <f t="shared" si="22"/>
        <v>0</v>
      </c>
      <c r="U327" s="11">
        <f t="shared" si="23"/>
        <v>0</v>
      </c>
      <c r="V327" s="11">
        <f t="shared" si="24"/>
        <v>0</v>
      </c>
    </row>
    <row r="328" spans="13:22" x14ac:dyDescent="0.35">
      <c r="M328">
        <f t="shared" si="21"/>
        <v>0</v>
      </c>
      <c r="T328" s="11">
        <f t="shared" si="22"/>
        <v>0</v>
      </c>
      <c r="U328" s="11">
        <f t="shared" si="23"/>
        <v>0</v>
      </c>
      <c r="V328" s="11">
        <f t="shared" si="24"/>
        <v>0</v>
      </c>
    </row>
    <row r="329" spans="13:22" x14ac:dyDescent="0.35">
      <c r="M329">
        <f t="shared" si="21"/>
        <v>0</v>
      </c>
      <c r="T329" s="11">
        <f t="shared" si="22"/>
        <v>0</v>
      </c>
      <c r="U329" s="11">
        <f t="shared" si="23"/>
        <v>0</v>
      </c>
      <c r="V329" s="11">
        <f t="shared" si="24"/>
        <v>0</v>
      </c>
    </row>
    <row r="330" spans="13:22" x14ac:dyDescent="0.35">
      <c r="M330">
        <f t="shared" si="21"/>
        <v>0</v>
      </c>
      <c r="T330" s="11">
        <f t="shared" si="22"/>
        <v>0</v>
      </c>
      <c r="U330" s="11">
        <f t="shared" si="23"/>
        <v>0</v>
      </c>
      <c r="V330" s="11">
        <f t="shared" si="24"/>
        <v>0</v>
      </c>
    </row>
    <row r="331" spans="13:22" x14ac:dyDescent="0.35">
      <c r="M331">
        <f t="shared" si="21"/>
        <v>0</v>
      </c>
      <c r="T331" s="11">
        <f t="shared" si="22"/>
        <v>0</v>
      </c>
      <c r="U331" s="11">
        <f t="shared" si="23"/>
        <v>0</v>
      </c>
      <c r="V331" s="11">
        <f t="shared" si="24"/>
        <v>0</v>
      </c>
    </row>
    <row r="332" spans="13:22" x14ac:dyDescent="0.35">
      <c r="M332">
        <f t="shared" si="21"/>
        <v>0</v>
      </c>
      <c r="T332" s="11">
        <f t="shared" si="22"/>
        <v>0</v>
      </c>
      <c r="U332" s="11">
        <f t="shared" si="23"/>
        <v>0</v>
      </c>
      <c r="V332" s="11">
        <f t="shared" si="24"/>
        <v>0</v>
      </c>
    </row>
    <row r="333" spans="13:22" x14ac:dyDescent="0.35">
      <c r="M333">
        <f t="shared" ref="M333:M364" si="25">((I333*J333)+I333)*L333</f>
        <v>0</v>
      </c>
      <c r="T333" s="11">
        <f t="shared" si="22"/>
        <v>0</v>
      </c>
      <c r="U333" s="11">
        <f t="shared" si="23"/>
        <v>0</v>
      </c>
      <c r="V333" s="11">
        <f t="shared" si="24"/>
        <v>0</v>
      </c>
    </row>
    <row r="334" spans="13:22" x14ac:dyDescent="0.35">
      <c r="M334">
        <f t="shared" si="25"/>
        <v>0</v>
      </c>
      <c r="T334" s="11">
        <f t="shared" si="22"/>
        <v>0</v>
      </c>
      <c r="U334" s="11">
        <f t="shared" si="23"/>
        <v>0</v>
      </c>
      <c r="V334" s="11">
        <f t="shared" si="24"/>
        <v>0</v>
      </c>
    </row>
    <row r="335" spans="13:22" x14ac:dyDescent="0.35">
      <c r="M335">
        <f t="shared" si="25"/>
        <v>0</v>
      </c>
      <c r="T335" s="11">
        <f t="shared" si="22"/>
        <v>0</v>
      </c>
      <c r="U335" s="11">
        <f t="shared" si="23"/>
        <v>0</v>
      </c>
      <c r="V335" s="11">
        <f t="shared" si="24"/>
        <v>0</v>
      </c>
    </row>
    <row r="336" spans="13:22" x14ac:dyDescent="0.35">
      <c r="M336">
        <f t="shared" si="25"/>
        <v>0</v>
      </c>
      <c r="T336" s="11">
        <f t="shared" si="22"/>
        <v>0</v>
      </c>
      <c r="U336" s="11">
        <f t="shared" si="23"/>
        <v>0</v>
      </c>
      <c r="V336" s="11">
        <f t="shared" si="24"/>
        <v>0</v>
      </c>
    </row>
    <row r="337" spans="13:22" x14ac:dyDescent="0.35">
      <c r="M337">
        <f t="shared" si="25"/>
        <v>0</v>
      </c>
      <c r="T337" s="11">
        <f t="shared" si="22"/>
        <v>0</v>
      </c>
      <c r="U337" s="11">
        <f t="shared" si="23"/>
        <v>0</v>
      </c>
      <c r="V337" s="11">
        <f t="shared" si="24"/>
        <v>0</v>
      </c>
    </row>
    <row r="338" spans="13:22" x14ac:dyDescent="0.35">
      <c r="M338">
        <f t="shared" si="25"/>
        <v>0</v>
      </c>
      <c r="T338" s="11">
        <f t="shared" si="22"/>
        <v>0</v>
      </c>
      <c r="U338" s="11">
        <f t="shared" si="23"/>
        <v>0</v>
      </c>
      <c r="V338" s="11">
        <f t="shared" si="24"/>
        <v>0</v>
      </c>
    </row>
    <row r="339" spans="13:22" x14ac:dyDescent="0.35">
      <c r="M339">
        <f t="shared" si="25"/>
        <v>0</v>
      </c>
      <c r="T339" s="11">
        <f t="shared" si="22"/>
        <v>0</v>
      </c>
      <c r="U339" s="11">
        <f t="shared" si="23"/>
        <v>0</v>
      </c>
      <c r="V339" s="11">
        <f t="shared" si="24"/>
        <v>0</v>
      </c>
    </row>
    <row r="340" spans="13:22" x14ac:dyDescent="0.35">
      <c r="M340">
        <f t="shared" si="25"/>
        <v>0</v>
      </c>
      <c r="T340" s="11">
        <f t="shared" si="22"/>
        <v>0</v>
      </c>
      <c r="U340" s="11">
        <f t="shared" si="23"/>
        <v>0</v>
      </c>
      <c r="V340" s="11">
        <f t="shared" si="24"/>
        <v>0</v>
      </c>
    </row>
    <row r="341" spans="13:22" x14ac:dyDescent="0.35">
      <c r="M341">
        <f t="shared" si="25"/>
        <v>0</v>
      </c>
      <c r="T341" s="11">
        <f t="shared" si="22"/>
        <v>0</v>
      </c>
      <c r="U341" s="11">
        <f t="shared" si="23"/>
        <v>0</v>
      </c>
      <c r="V341" s="11">
        <f t="shared" si="24"/>
        <v>0</v>
      </c>
    </row>
    <row r="342" spans="13:22" x14ac:dyDescent="0.35">
      <c r="M342">
        <f t="shared" si="25"/>
        <v>0</v>
      </c>
      <c r="T342" s="11">
        <f t="shared" si="22"/>
        <v>0</v>
      </c>
      <c r="U342" s="11">
        <f t="shared" si="23"/>
        <v>0</v>
      </c>
      <c r="V342" s="11">
        <f t="shared" si="24"/>
        <v>0</v>
      </c>
    </row>
    <row r="343" spans="13:22" x14ac:dyDescent="0.35">
      <c r="M343">
        <f t="shared" si="25"/>
        <v>0</v>
      </c>
      <c r="T343" s="11">
        <f t="shared" si="22"/>
        <v>0</v>
      </c>
      <c r="U343" s="11">
        <f t="shared" si="23"/>
        <v>0</v>
      </c>
      <c r="V343" s="11">
        <f t="shared" si="24"/>
        <v>0</v>
      </c>
    </row>
    <row r="344" spans="13:22" x14ac:dyDescent="0.35">
      <c r="M344">
        <f t="shared" si="25"/>
        <v>0</v>
      </c>
      <c r="T344" s="11">
        <f t="shared" si="22"/>
        <v>0</v>
      </c>
      <c r="U344" s="11">
        <f t="shared" si="23"/>
        <v>0</v>
      </c>
      <c r="V344" s="11">
        <f t="shared" si="24"/>
        <v>0</v>
      </c>
    </row>
    <row r="345" spans="13:22" x14ac:dyDescent="0.35">
      <c r="M345">
        <f t="shared" si="25"/>
        <v>0</v>
      </c>
      <c r="T345" s="11">
        <f t="shared" si="22"/>
        <v>0</v>
      </c>
      <c r="U345" s="11">
        <f t="shared" si="23"/>
        <v>0</v>
      </c>
      <c r="V345" s="11">
        <f t="shared" si="24"/>
        <v>0</v>
      </c>
    </row>
    <row r="346" spans="13:22" x14ac:dyDescent="0.35">
      <c r="M346">
        <f t="shared" si="25"/>
        <v>0</v>
      </c>
      <c r="T346" s="11">
        <f t="shared" si="22"/>
        <v>0</v>
      </c>
      <c r="U346" s="11">
        <f t="shared" si="23"/>
        <v>0</v>
      </c>
      <c r="V346" s="11">
        <f t="shared" si="24"/>
        <v>0</v>
      </c>
    </row>
    <row r="347" spans="13:22" x14ac:dyDescent="0.35">
      <c r="M347">
        <f t="shared" si="25"/>
        <v>0</v>
      </c>
      <c r="T347" s="11">
        <f t="shared" si="22"/>
        <v>0</v>
      </c>
      <c r="U347" s="11">
        <f t="shared" si="23"/>
        <v>0</v>
      </c>
      <c r="V347" s="11">
        <f t="shared" si="24"/>
        <v>0</v>
      </c>
    </row>
    <row r="348" spans="13:22" x14ac:dyDescent="0.35">
      <c r="M348">
        <f t="shared" si="25"/>
        <v>0</v>
      </c>
      <c r="T348" s="11">
        <f t="shared" si="22"/>
        <v>0</v>
      </c>
      <c r="U348" s="11">
        <f t="shared" si="23"/>
        <v>0</v>
      </c>
      <c r="V348" s="11">
        <f t="shared" si="24"/>
        <v>0</v>
      </c>
    </row>
    <row r="349" spans="13:22" x14ac:dyDescent="0.35">
      <c r="M349">
        <f t="shared" si="25"/>
        <v>0</v>
      </c>
      <c r="T349" s="11">
        <f t="shared" si="22"/>
        <v>0</v>
      </c>
      <c r="U349" s="11">
        <f t="shared" si="23"/>
        <v>0</v>
      </c>
      <c r="V349" s="11">
        <f t="shared" si="24"/>
        <v>0</v>
      </c>
    </row>
    <row r="350" spans="13:22" x14ac:dyDescent="0.35">
      <c r="M350">
        <f t="shared" si="25"/>
        <v>0</v>
      </c>
      <c r="T350" s="11">
        <f t="shared" si="22"/>
        <v>0</v>
      </c>
      <c r="U350" s="11">
        <f t="shared" si="23"/>
        <v>0</v>
      </c>
      <c r="V350" s="11">
        <f t="shared" si="24"/>
        <v>0</v>
      </c>
    </row>
    <row r="351" spans="13:22" x14ac:dyDescent="0.35">
      <c r="M351">
        <f t="shared" si="25"/>
        <v>0</v>
      </c>
      <c r="T351" s="11">
        <f t="shared" si="22"/>
        <v>0</v>
      </c>
      <c r="U351" s="11">
        <f t="shared" si="23"/>
        <v>0</v>
      </c>
      <c r="V351" s="11">
        <f t="shared" si="24"/>
        <v>0</v>
      </c>
    </row>
    <row r="352" spans="13:22" x14ac:dyDescent="0.35">
      <c r="M352">
        <f t="shared" si="25"/>
        <v>0</v>
      </c>
      <c r="T352" s="11">
        <f t="shared" si="22"/>
        <v>0</v>
      </c>
      <c r="U352" s="11">
        <f t="shared" si="23"/>
        <v>0</v>
      </c>
      <c r="V352" s="11">
        <f t="shared" si="24"/>
        <v>0</v>
      </c>
    </row>
    <row r="353" spans="13:22" x14ac:dyDescent="0.35">
      <c r="M353">
        <f t="shared" si="25"/>
        <v>0</v>
      </c>
      <c r="T353" s="11">
        <f t="shared" si="22"/>
        <v>0</v>
      </c>
      <c r="U353" s="11">
        <f t="shared" si="23"/>
        <v>0</v>
      </c>
      <c r="V353" s="11">
        <f t="shared" si="24"/>
        <v>0</v>
      </c>
    </row>
    <row r="354" spans="13:22" x14ac:dyDescent="0.35">
      <c r="M354">
        <f t="shared" si="25"/>
        <v>0</v>
      </c>
      <c r="T354" s="11">
        <f t="shared" si="22"/>
        <v>0</v>
      </c>
      <c r="U354" s="11">
        <f t="shared" si="23"/>
        <v>0</v>
      </c>
      <c r="V354" s="11">
        <f t="shared" si="24"/>
        <v>0</v>
      </c>
    </row>
    <row r="355" spans="13:22" x14ac:dyDescent="0.35">
      <c r="M355">
        <f t="shared" si="25"/>
        <v>0</v>
      </c>
      <c r="T355" s="11">
        <f t="shared" si="22"/>
        <v>0</v>
      </c>
      <c r="U355" s="11">
        <f t="shared" si="23"/>
        <v>0</v>
      </c>
      <c r="V355" s="11">
        <f t="shared" si="24"/>
        <v>0</v>
      </c>
    </row>
    <row r="356" spans="13:22" x14ac:dyDescent="0.35">
      <c r="M356">
        <f t="shared" si="25"/>
        <v>0</v>
      </c>
      <c r="T356" s="11">
        <f t="shared" si="22"/>
        <v>0</v>
      </c>
      <c r="U356" s="11">
        <f t="shared" si="23"/>
        <v>0</v>
      </c>
      <c r="V356" s="11">
        <f t="shared" si="24"/>
        <v>0</v>
      </c>
    </row>
    <row r="357" spans="13:22" x14ac:dyDescent="0.35">
      <c r="M357">
        <f t="shared" si="25"/>
        <v>0</v>
      </c>
      <c r="T357" s="11">
        <f t="shared" si="22"/>
        <v>0</v>
      </c>
      <c r="U357" s="11">
        <f t="shared" si="23"/>
        <v>0</v>
      </c>
      <c r="V357" s="11">
        <f t="shared" si="24"/>
        <v>0</v>
      </c>
    </row>
    <row r="358" spans="13:22" x14ac:dyDescent="0.35">
      <c r="M358">
        <f t="shared" si="25"/>
        <v>0</v>
      </c>
      <c r="T358" s="11">
        <f t="shared" si="22"/>
        <v>0</v>
      </c>
      <c r="U358" s="11">
        <f t="shared" si="23"/>
        <v>0</v>
      </c>
      <c r="V358" s="11">
        <f t="shared" si="24"/>
        <v>0</v>
      </c>
    </row>
    <row r="359" spans="13:22" x14ac:dyDescent="0.35">
      <c r="M359">
        <f t="shared" si="25"/>
        <v>0</v>
      </c>
      <c r="T359" s="11">
        <f t="shared" si="22"/>
        <v>0</v>
      </c>
      <c r="U359" s="11">
        <f t="shared" si="23"/>
        <v>0</v>
      </c>
      <c r="V359" s="11">
        <f t="shared" si="24"/>
        <v>0</v>
      </c>
    </row>
    <row r="360" spans="13:22" x14ac:dyDescent="0.35">
      <c r="M360">
        <f t="shared" si="25"/>
        <v>0</v>
      </c>
      <c r="T360" s="11">
        <f t="shared" si="22"/>
        <v>0</v>
      </c>
      <c r="U360" s="11">
        <f t="shared" si="23"/>
        <v>0</v>
      </c>
      <c r="V360" s="11">
        <f t="shared" si="24"/>
        <v>0</v>
      </c>
    </row>
    <row r="361" spans="13:22" x14ac:dyDescent="0.35">
      <c r="M361">
        <f t="shared" si="25"/>
        <v>0</v>
      </c>
      <c r="T361" s="11">
        <f t="shared" si="22"/>
        <v>0</v>
      </c>
      <c r="U361" s="11">
        <f t="shared" si="23"/>
        <v>0</v>
      </c>
      <c r="V361" s="11">
        <f t="shared" si="24"/>
        <v>0</v>
      </c>
    </row>
    <row r="362" spans="13:22" x14ac:dyDescent="0.35">
      <c r="M362">
        <f t="shared" si="25"/>
        <v>0</v>
      </c>
      <c r="T362" s="11">
        <f t="shared" si="22"/>
        <v>0</v>
      </c>
      <c r="U362" s="11">
        <f t="shared" si="23"/>
        <v>0</v>
      </c>
      <c r="V362" s="11">
        <f t="shared" si="24"/>
        <v>0</v>
      </c>
    </row>
    <row r="363" spans="13:22" x14ac:dyDescent="0.35">
      <c r="M363">
        <f t="shared" si="25"/>
        <v>0</v>
      </c>
      <c r="T363" s="11">
        <f t="shared" si="22"/>
        <v>0</v>
      </c>
      <c r="U363" s="11">
        <f t="shared" si="23"/>
        <v>0</v>
      </c>
      <c r="V363" s="11">
        <f t="shared" si="24"/>
        <v>0</v>
      </c>
    </row>
    <row r="364" spans="13:22" x14ac:dyDescent="0.35">
      <c r="M364">
        <f t="shared" si="25"/>
        <v>0</v>
      </c>
      <c r="T364" s="11">
        <f t="shared" si="22"/>
        <v>0</v>
      </c>
      <c r="U364" s="11">
        <f t="shared" si="23"/>
        <v>0</v>
      </c>
      <c r="V364" s="11">
        <f t="shared" si="24"/>
        <v>0</v>
      </c>
    </row>
    <row r="365" spans="13:22" x14ac:dyDescent="0.35">
      <c r="M365">
        <f t="shared" ref="M365:M372" si="26">((I365*J365)+I365)*L365</f>
        <v>0</v>
      </c>
      <c r="T365" s="11">
        <f t="shared" si="22"/>
        <v>0</v>
      </c>
      <c r="U365" s="11">
        <f t="shared" si="23"/>
        <v>0</v>
      </c>
      <c r="V365" s="11">
        <f t="shared" si="24"/>
        <v>0</v>
      </c>
    </row>
    <row r="366" spans="13:22" x14ac:dyDescent="0.35">
      <c r="M366">
        <f t="shared" si="26"/>
        <v>0</v>
      </c>
      <c r="T366" s="11">
        <f t="shared" si="22"/>
        <v>0</v>
      </c>
      <c r="U366" s="11">
        <f t="shared" si="23"/>
        <v>0</v>
      </c>
      <c r="V366" s="11">
        <f t="shared" si="24"/>
        <v>0</v>
      </c>
    </row>
    <row r="367" spans="13:22" x14ac:dyDescent="0.35">
      <c r="M367">
        <f t="shared" si="26"/>
        <v>0</v>
      </c>
      <c r="T367" s="11">
        <f t="shared" si="22"/>
        <v>0</v>
      </c>
      <c r="U367" s="11">
        <f t="shared" si="23"/>
        <v>0</v>
      </c>
      <c r="V367" s="11">
        <f t="shared" si="24"/>
        <v>0</v>
      </c>
    </row>
    <row r="368" spans="13:22" x14ac:dyDescent="0.35">
      <c r="M368">
        <f t="shared" si="26"/>
        <v>0</v>
      </c>
      <c r="T368" s="11">
        <f t="shared" si="22"/>
        <v>0</v>
      </c>
      <c r="U368" s="11">
        <f t="shared" si="23"/>
        <v>0</v>
      </c>
      <c r="V368" s="11">
        <f t="shared" si="24"/>
        <v>0</v>
      </c>
    </row>
    <row r="369" spans="10:22" x14ac:dyDescent="0.35">
      <c r="M369">
        <f t="shared" si="26"/>
        <v>0</v>
      </c>
      <c r="T369" s="11">
        <f t="shared" si="22"/>
        <v>0</v>
      </c>
      <c r="U369" s="11">
        <f t="shared" si="23"/>
        <v>0</v>
      </c>
      <c r="V369" s="11">
        <f t="shared" si="24"/>
        <v>0</v>
      </c>
    </row>
    <row r="370" spans="10:22" x14ac:dyDescent="0.35">
      <c r="M370">
        <f t="shared" si="26"/>
        <v>0</v>
      </c>
      <c r="T370" s="11">
        <f t="shared" si="22"/>
        <v>0</v>
      </c>
      <c r="U370" s="11">
        <f t="shared" si="23"/>
        <v>0</v>
      </c>
      <c r="V370" s="11">
        <f t="shared" si="24"/>
        <v>0</v>
      </c>
    </row>
    <row r="371" spans="10:22" x14ac:dyDescent="0.35">
      <c r="M371">
        <f t="shared" si="26"/>
        <v>0</v>
      </c>
      <c r="T371" s="11">
        <f t="shared" si="22"/>
        <v>0</v>
      </c>
      <c r="U371" s="11">
        <f t="shared" si="23"/>
        <v>0</v>
      </c>
      <c r="V371" s="11">
        <f t="shared" si="24"/>
        <v>0</v>
      </c>
    </row>
    <row r="372" spans="10:22" x14ac:dyDescent="0.35">
      <c r="M372">
        <f t="shared" si="26"/>
        <v>0</v>
      </c>
      <c r="T372" s="11">
        <f t="shared" si="22"/>
        <v>0</v>
      </c>
      <c r="U372" s="11">
        <f t="shared" si="23"/>
        <v>0</v>
      </c>
      <c r="V372" s="11">
        <f t="shared" si="24"/>
        <v>0</v>
      </c>
    </row>
    <row r="373" spans="10:22" x14ac:dyDescent="0.35">
      <c r="J373" s="9"/>
      <c r="U373" s="11"/>
    </row>
    <row r="374" spans="10:22" x14ac:dyDescent="0.35">
      <c r="J374" s="9"/>
      <c r="U374" s="11"/>
    </row>
    <row r="375" spans="10:22" x14ac:dyDescent="0.35">
      <c r="U375" s="11"/>
    </row>
    <row r="376" spans="10:22" x14ac:dyDescent="0.35">
      <c r="U376" s="11"/>
    </row>
    <row r="377" spans="10:22" x14ac:dyDescent="0.35">
      <c r="U377" s="11"/>
    </row>
    <row r="378" spans="10:22" x14ac:dyDescent="0.35">
      <c r="U378" s="11"/>
    </row>
    <row r="379" spans="10:22" x14ac:dyDescent="0.35">
      <c r="U379" s="11"/>
    </row>
    <row r="380" spans="10:22" x14ac:dyDescent="0.35">
      <c r="U380" s="11"/>
    </row>
    <row r="383" spans="10:22" x14ac:dyDescent="0.35">
      <c r="M383">
        <f t="shared" ref="M383:M390" si="27">((I383*J383)+I383)*L383</f>
        <v>0</v>
      </c>
    </row>
    <row r="384" spans="10:22" x14ac:dyDescent="0.35">
      <c r="M384">
        <f t="shared" si="27"/>
        <v>0</v>
      </c>
    </row>
    <row r="385" spans="13:13" x14ac:dyDescent="0.35">
      <c r="M385">
        <f t="shared" si="27"/>
        <v>0</v>
      </c>
    </row>
    <row r="386" spans="13:13" x14ac:dyDescent="0.35">
      <c r="M386">
        <f t="shared" si="27"/>
        <v>0</v>
      </c>
    </row>
    <row r="387" spans="13:13" x14ac:dyDescent="0.35">
      <c r="M387">
        <f t="shared" si="27"/>
        <v>0</v>
      </c>
    </row>
    <row r="388" spans="13:13" x14ac:dyDescent="0.35">
      <c r="M388">
        <f t="shared" si="27"/>
        <v>0</v>
      </c>
    </row>
    <row r="389" spans="13:13" x14ac:dyDescent="0.35">
      <c r="M389">
        <f t="shared" si="27"/>
        <v>0</v>
      </c>
    </row>
    <row r="390" spans="13:13" x14ac:dyDescent="0.35">
      <c r="M390">
        <f t="shared" si="27"/>
        <v>0</v>
      </c>
    </row>
  </sheetData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14"/>
  <sheetViews>
    <sheetView workbookViewId="0">
      <selection activeCell="N13" sqref="N13"/>
    </sheetView>
  </sheetViews>
  <sheetFormatPr defaultRowHeight="14.5" x14ac:dyDescent="0.35"/>
  <cols>
    <col min="1" max="1" width="10.08984375" bestFit="1" customWidth="1"/>
    <col min="6" max="6" width="6.6328125" bestFit="1" customWidth="1"/>
  </cols>
  <sheetData>
    <row r="1" spans="1:18" ht="18.5" customHeight="1" x14ac:dyDescent="0.45">
      <c r="A1" s="1" t="s">
        <v>0</v>
      </c>
      <c r="B1" s="1" t="s">
        <v>1</v>
      </c>
      <c r="C1" s="1" t="s">
        <v>356</v>
      </c>
      <c r="D1" s="1" t="s">
        <v>5</v>
      </c>
      <c r="E1" s="1" t="s">
        <v>6</v>
      </c>
      <c r="F1" s="1" t="s">
        <v>357</v>
      </c>
      <c r="G1" s="1" t="s">
        <v>8</v>
      </c>
      <c r="H1" s="1" t="s">
        <v>9</v>
      </c>
      <c r="I1" s="1" t="s">
        <v>358</v>
      </c>
      <c r="J1" s="1" t="s">
        <v>15</v>
      </c>
      <c r="K1" s="1" t="s">
        <v>359</v>
      </c>
      <c r="L1" s="1"/>
    </row>
    <row r="2" spans="1:18" x14ac:dyDescent="0.35">
      <c r="A2" s="2">
        <v>45119</v>
      </c>
      <c r="B2" t="s">
        <v>23</v>
      </c>
      <c r="C2" s="5"/>
      <c r="D2" s="5" t="s">
        <v>24</v>
      </c>
      <c r="E2" s="5"/>
      <c r="F2" t="s">
        <v>25</v>
      </c>
      <c r="G2" t="s">
        <v>26</v>
      </c>
      <c r="H2" t="s">
        <v>27</v>
      </c>
      <c r="I2">
        <v>35250</v>
      </c>
      <c r="J2">
        <v>-6</v>
      </c>
      <c r="K2" t="s">
        <v>28</v>
      </c>
      <c r="L2" t="s">
        <v>29</v>
      </c>
      <c r="M2">
        <v>35250</v>
      </c>
      <c r="P2" s="2"/>
      <c r="R2" s="2"/>
    </row>
    <row r="3" spans="1:18" x14ac:dyDescent="0.35">
      <c r="A3" s="2">
        <v>45148</v>
      </c>
      <c r="B3" t="s">
        <v>23</v>
      </c>
      <c r="C3" s="5"/>
      <c r="D3" s="5" t="s">
        <v>24</v>
      </c>
      <c r="E3" s="5"/>
      <c r="F3" t="s">
        <v>25</v>
      </c>
      <c r="G3" t="s">
        <v>26</v>
      </c>
      <c r="H3" t="s">
        <v>27</v>
      </c>
      <c r="I3">
        <v>36500</v>
      </c>
      <c r="J3">
        <v>-6</v>
      </c>
      <c r="K3" t="s">
        <v>28</v>
      </c>
      <c r="L3" t="s">
        <v>29</v>
      </c>
      <c r="M3">
        <v>36500</v>
      </c>
      <c r="P3" s="2"/>
      <c r="R3" s="2"/>
    </row>
    <row r="4" spans="1:18" x14ac:dyDescent="0.35">
      <c r="A4" s="2">
        <v>45327</v>
      </c>
      <c r="B4" t="s">
        <v>23</v>
      </c>
      <c r="C4" s="5"/>
      <c r="D4" s="5" t="s">
        <v>24</v>
      </c>
      <c r="E4" s="5"/>
      <c r="F4" t="s">
        <v>72</v>
      </c>
      <c r="G4" t="s">
        <v>26</v>
      </c>
      <c r="H4" t="s">
        <v>75</v>
      </c>
      <c r="I4">
        <v>33000</v>
      </c>
      <c r="J4">
        <v>-5</v>
      </c>
      <c r="K4" t="s">
        <v>28</v>
      </c>
      <c r="L4" t="s">
        <v>29</v>
      </c>
      <c r="M4">
        <v>33750</v>
      </c>
      <c r="N4" t="s">
        <v>360</v>
      </c>
      <c r="P4" s="2"/>
      <c r="R4" s="2"/>
    </row>
    <row r="5" spans="1:18" x14ac:dyDescent="0.35">
      <c r="A5" s="2">
        <v>45715</v>
      </c>
      <c r="B5" t="s">
        <v>23</v>
      </c>
      <c r="C5" s="5" t="s">
        <v>213</v>
      </c>
      <c r="D5" s="5"/>
      <c r="E5" s="5" t="s">
        <v>149</v>
      </c>
      <c r="F5" t="s">
        <v>56</v>
      </c>
      <c r="G5" t="s">
        <v>179</v>
      </c>
      <c r="H5" t="s">
        <v>214</v>
      </c>
      <c r="I5">
        <v>57000</v>
      </c>
      <c r="J5">
        <v>-6</v>
      </c>
      <c r="K5" t="s">
        <v>28</v>
      </c>
      <c r="L5" t="s">
        <v>29</v>
      </c>
      <c r="M5">
        <v>57500</v>
      </c>
      <c r="N5" t="s">
        <v>360</v>
      </c>
    </row>
    <row r="6" spans="1:18" x14ac:dyDescent="0.35">
      <c r="A6" s="2">
        <v>45741</v>
      </c>
      <c r="B6" t="s">
        <v>23</v>
      </c>
      <c r="C6" s="5" t="s">
        <v>227</v>
      </c>
      <c r="D6" s="5"/>
      <c r="E6" s="5"/>
      <c r="F6" t="s">
        <v>206</v>
      </c>
      <c r="G6" t="s">
        <v>33</v>
      </c>
      <c r="H6" t="s">
        <v>228</v>
      </c>
      <c r="I6">
        <v>54000</v>
      </c>
      <c r="J6">
        <v>-6</v>
      </c>
      <c r="K6" t="s">
        <v>65</v>
      </c>
      <c r="L6" t="s">
        <v>35</v>
      </c>
      <c r="M6">
        <v>54000</v>
      </c>
      <c r="N6">
        <v>-6</v>
      </c>
    </row>
    <row r="7" spans="1:18" x14ac:dyDescent="0.35">
      <c r="A7" s="2">
        <v>45796</v>
      </c>
      <c r="B7" t="s">
        <v>23</v>
      </c>
      <c r="C7" s="5" t="s">
        <v>220</v>
      </c>
      <c r="D7" s="5"/>
      <c r="E7" s="5"/>
      <c r="F7" t="s">
        <v>206</v>
      </c>
      <c r="G7" t="s">
        <v>33</v>
      </c>
      <c r="H7" t="s">
        <v>57</v>
      </c>
      <c r="I7">
        <v>52000</v>
      </c>
      <c r="J7">
        <v>-6</v>
      </c>
      <c r="K7" t="s">
        <v>28</v>
      </c>
      <c r="L7" t="s">
        <v>35</v>
      </c>
      <c r="M7">
        <v>52000</v>
      </c>
      <c r="N7">
        <v>-6</v>
      </c>
    </row>
    <row r="8" spans="1:18" x14ac:dyDescent="0.35">
      <c r="A8" s="2">
        <v>45805</v>
      </c>
      <c r="B8" t="s">
        <v>23</v>
      </c>
      <c r="C8" s="5" t="s">
        <v>220</v>
      </c>
      <c r="D8" s="5"/>
      <c r="E8" s="5"/>
      <c r="F8" t="s">
        <v>206</v>
      </c>
      <c r="G8" t="s">
        <v>33</v>
      </c>
      <c r="H8" t="s">
        <v>207</v>
      </c>
      <c r="I8">
        <v>51000</v>
      </c>
      <c r="J8">
        <v>-6</v>
      </c>
      <c r="L8" t="s">
        <v>35</v>
      </c>
      <c r="M8">
        <v>51000</v>
      </c>
      <c r="N8">
        <v>-6</v>
      </c>
    </row>
    <row r="9" spans="1:18" x14ac:dyDescent="0.35">
      <c r="A9" s="2">
        <v>45805</v>
      </c>
      <c r="B9" t="s">
        <v>23</v>
      </c>
      <c r="C9" s="5" t="s">
        <v>248</v>
      </c>
      <c r="D9" s="5"/>
      <c r="E9" s="5"/>
      <c r="F9" t="s">
        <v>206</v>
      </c>
      <c r="G9" t="s">
        <v>33</v>
      </c>
      <c r="H9" t="s">
        <v>207</v>
      </c>
      <c r="I9">
        <v>55000</v>
      </c>
      <c r="J9">
        <v>-6</v>
      </c>
      <c r="L9" t="s">
        <v>35</v>
      </c>
      <c r="M9">
        <v>55000</v>
      </c>
      <c r="N9">
        <v>-6</v>
      </c>
    </row>
    <row r="10" spans="1:18" x14ac:dyDescent="0.35">
      <c r="A10" s="2">
        <v>45805</v>
      </c>
      <c r="B10" t="s">
        <v>23</v>
      </c>
      <c r="C10" s="5" t="s">
        <v>249</v>
      </c>
      <c r="D10" s="5"/>
      <c r="E10" s="5"/>
      <c r="F10" t="s">
        <v>206</v>
      </c>
      <c r="G10" t="s">
        <v>33</v>
      </c>
      <c r="H10" t="s">
        <v>57</v>
      </c>
      <c r="I10">
        <v>55000</v>
      </c>
      <c r="J10">
        <v>-6</v>
      </c>
      <c r="K10" t="s">
        <v>28</v>
      </c>
      <c r="L10" t="s">
        <v>35</v>
      </c>
      <c r="M10">
        <v>55000</v>
      </c>
      <c r="N10">
        <v>-6</v>
      </c>
    </row>
    <row r="11" spans="1:18" x14ac:dyDescent="0.35">
      <c r="A11" s="2">
        <v>45805</v>
      </c>
      <c r="B11" t="s">
        <v>23</v>
      </c>
      <c r="C11" s="5" t="s">
        <v>250</v>
      </c>
      <c r="D11" s="5"/>
      <c r="E11" s="5"/>
      <c r="F11" t="s">
        <v>206</v>
      </c>
      <c r="G11" t="s">
        <v>33</v>
      </c>
      <c r="H11" t="s">
        <v>251</v>
      </c>
      <c r="I11">
        <v>52000</v>
      </c>
      <c r="J11">
        <v>-6</v>
      </c>
      <c r="L11" t="s">
        <v>35</v>
      </c>
      <c r="M11">
        <v>52000</v>
      </c>
      <c r="N11">
        <v>-6</v>
      </c>
    </row>
    <row r="12" spans="1:18" x14ac:dyDescent="0.35">
      <c r="A12" s="2">
        <v>45847</v>
      </c>
      <c r="B12" t="s">
        <v>23</v>
      </c>
      <c r="C12" s="5" t="s">
        <v>258</v>
      </c>
      <c r="D12" s="5"/>
      <c r="E12" s="5"/>
      <c r="F12" t="s">
        <v>206</v>
      </c>
      <c r="G12" t="s">
        <v>33</v>
      </c>
      <c r="H12" t="s">
        <v>207</v>
      </c>
      <c r="I12">
        <v>38000</v>
      </c>
      <c r="J12">
        <v>-6</v>
      </c>
      <c r="L12" t="s">
        <v>35</v>
      </c>
      <c r="M12">
        <v>38000</v>
      </c>
      <c r="N12">
        <v>-6</v>
      </c>
    </row>
    <row r="13" spans="1:18" x14ac:dyDescent="0.35">
      <c r="A13" s="2">
        <v>45847</v>
      </c>
      <c r="B13" t="s">
        <v>23</v>
      </c>
      <c r="C13" s="5" t="s">
        <v>259</v>
      </c>
      <c r="D13" s="5"/>
      <c r="E13" s="5"/>
      <c r="F13" t="s">
        <v>206</v>
      </c>
      <c r="G13" t="s">
        <v>33</v>
      </c>
      <c r="H13" t="s">
        <v>261</v>
      </c>
      <c r="I13">
        <v>37000</v>
      </c>
      <c r="J13">
        <v>-6</v>
      </c>
      <c r="L13" t="s">
        <v>35</v>
      </c>
      <c r="M13">
        <v>37000</v>
      </c>
      <c r="N13">
        <v>-6</v>
      </c>
    </row>
    <row r="14" spans="1:18" x14ac:dyDescent="0.35">
      <c r="A14" s="2">
        <v>45891</v>
      </c>
      <c r="B14" t="s">
        <v>23</v>
      </c>
      <c r="C14" s="5" t="s">
        <v>295</v>
      </c>
      <c r="D14" s="5"/>
      <c r="E14" s="5"/>
      <c r="F14" t="s">
        <v>240</v>
      </c>
      <c r="G14" t="s">
        <v>33</v>
      </c>
      <c r="H14" t="s">
        <v>57</v>
      </c>
      <c r="I14">
        <v>41750</v>
      </c>
      <c r="J14">
        <v>-6</v>
      </c>
      <c r="K14" t="s">
        <v>28</v>
      </c>
      <c r="L14" t="s">
        <v>35</v>
      </c>
      <c r="M14">
        <v>41750</v>
      </c>
      <c r="N14">
        <v>-6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8"/>
  <sheetViews>
    <sheetView workbookViewId="0"/>
  </sheetViews>
  <sheetFormatPr defaultRowHeight="14.5" x14ac:dyDescent="0.35"/>
  <cols>
    <col min="1" max="1" width="10.08984375" bestFit="1" customWidth="1"/>
  </cols>
  <sheetData>
    <row r="1" spans="1:18" ht="18.5" customHeight="1" x14ac:dyDescent="0.45">
      <c r="A1" s="1" t="s">
        <v>0</v>
      </c>
      <c r="B1" s="1" t="s">
        <v>1</v>
      </c>
      <c r="C1" s="1" t="s">
        <v>356</v>
      </c>
      <c r="D1" s="1" t="s">
        <v>5</v>
      </c>
      <c r="E1" s="1" t="s">
        <v>6</v>
      </c>
      <c r="F1" s="1" t="s">
        <v>357</v>
      </c>
      <c r="G1" s="1" t="s">
        <v>8</v>
      </c>
      <c r="H1" s="1" t="s">
        <v>9</v>
      </c>
      <c r="I1" s="1" t="s">
        <v>358</v>
      </c>
      <c r="J1" s="1" t="s">
        <v>15</v>
      </c>
      <c r="K1" s="1" t="s">
        <v>359</v>
      </c>
      <c r="L1" s="1"/>
    </row>
    <row r="2" spans="1:18" x14ac:dyDescent="0.35">
      <c r="A2" s="2">
        <v>45258</v>
      </c>
      <c r="B2" t="s">
        <v>30</v>
      </c>
      <c r="C2" s="5" t="s">
        <v>31</v>
      </c>
      <c r="D2" s="5"/>
      <c r="E2" s="5"/>
      <c r="F2" t="s">
        <v>32</v>
      </c>
      <c r="G2" t="s">
        <v>33</v>
      </c>
      <c r="H2" t="s">
        <v>34</v>
      </c>
      <c r="I2">
        <v>52000</v>
      </c>
      <c r="J2">
        <v>-6</v>
      </c>
      <c r="K2" t="s">
        <v>28</v>
      </c>
      <c r="L2" t="s">
        <v>35</v>
      </c>
      <c r="M2">
        <v>52000</v>
      </c>
      <c r="P2" s="2"/>
      <c r="R2" s="2"/>
    </row>
    <row r="3" spans="1:18" x14ac:dyDescent="0.35">
      <c r="A3" s="2">
        <v>45258</v>
      </c>
      <c r="B3" t="s">
        <v>30</v>
      </c>
      <c r="C3" s="5"/>
      <c r="D3" s="5"/>
      <c r="E3" s="5" t="s">
        <v>36</v>
      </c>
      <c r="F3" t="s">
        <v>32</v>
      </c>
      <c r="G3" t="s">
        <v>33</v>
      </c>
      <c r="H3" t="s">
        <v>34</v>
      </c>
      <c r="I3">
        <v>59000</v>
      </c>
      <c r="J3">
        <v>-6</v>
      </c>
      <c r="K3" t="s">
        <v>28</v>
      </c>
      <c r="L3" t="s">
        <v>35</v>
      </c>
      <c r="M3">
        <v>59000</v>
      </c>
      <c r="P3" s="2"/>
      <c r="R3" s="2"/>
    </row>
    <row r="4" spans="1:18" x14ac:dyDescent="0.35">
      <c r="A4" s="2">
        <v>45300</v>
      </c>
      <c r="B4" t="s">
        <v>30</v>
      </c>
      <c r="C4" s="5"/>
      <c r="D4" s="5"/>
      <c r="E4" s="5" t="s">
        <v>66</v>
      </c>
      <c r="F4" t="s">
        <v>32</v>
      </c>
      <c r="G4" t="s">
        <v>33</v>
      </c>
      <c r="H4" t="s">
        <v>34</v>
      </c>
      <c r="I4">
        <v>53000</v>
      </c>
      <c r="J4">
        <v>-6</v>
      </c>
      <c r="K4" t="s">
        <v>28</v>
      </c>
      <c r="L4" t="s">
        <v>35</v>
      </c>
      <c r="M4">
        <v>53000</v>
      </c>
      <c r="P4" s="2"/>
      <c r="R4" s="2"/>
    </row>
    <row r="5" spans="1:18" x14ac:dyDescent="0.35">
      <c r="A5" s="2">
        <v>45315</v>
      </c>
      <c r="B5" t="s">
        <v>30</v>
      </c>
      <c r="C5" s="5" t="s">
        <v>63</v>
      </c>
      <c r="D5" s="5"/>
      <c r="E5" s="5"/>
      <c r="F5" t="s">
        <v>32</v>
      </c>
      <c r="G5" t="s">
        <v>33</v>
      </c>
      <c r="H5" t="s">
        <v>70</v>
      </c>
      <c r="I5">
        <v>52500</v>
      </c>
      <c r="J5">
        <v>-6</v>
      </c>
      <c r="K5" t="s">
        <v>28</v>
      </c>
      <c r="L5" t="s">
        <v>35</v>
      </c>
      <c r="M5">
        <v>52500</v>
      </c>
      <c r="P5" s="2"/>
      <c r="R5" s="2"/>
    </row>
    <row r="6" spans="1:18" x14ac:dyDescent="0.35">
      <c r="A6" s="2">
        <v>45363</v>
      </c>
      <c r="B6" t="s">
        <v>30</v>
      </c>
      <c r="C6" s="5" t="s">
        <v>63</v>
      </c>
      <c r="D6" s="5"/>
      <c r="E6" s="5"/>
      <c r="F6" t="s">
        <v>32</v>
      </c>
      <c r="G6" t="s">
        <v>33</v>
      </c>
      <c r="H6" t="s">
        <v>70</v>
      </c>
      <c r="I6">
        <v>52500</v>
      </c>
      <c r="J6">
        <v>-6</v>
      </c>
      <c r="K6" t="s">
        <v>28</v>
      </c>
      <c r="L6" t="s">
        <v>35</v>
      </c>
      <c r="M6">
        <v>52500</v>
      </c>
      <c r="P6" s="2"/>
      <c r="R6" s="2"/>
    </row>
    <row r="7" spans="1:18" x14ac:dyDescent="0.35">
      <c r="A7" s="2">
        <v>45534</v>
      </c>
      <c r="B7" t="s">
        <v>30</v>
      </c>
      <c r="C7" s="5" t="s">
        <v>134</v>
      </c>
      <c r="D7" s="5"/>
      <c r="E7" s="5"/>
      <c r="F7" t="s">
        <v>32</v>
      </c>
      <c r="G7" t="s">
        <v>33</v>
      </c>
      <c r="H7" t="s">
        <v>34</v>
      </c>
      <c r="I7">
        <v>59500</v>
      </c>
      <c r="J7">
        <v>-6</v>
      </c>
      <c r="K7" t="s">
        <v>28</v>
      </c>
      <c r="L7" t="s">
        <v>35</v>
      </c>
      <c r="M7">
        <v>59500</v>
      </c>
      <c r="P7" s="2"/>
      <c r="R7" s="2"/>
    </row>
    <row r="8" spans="1:18" x14ac:dyDescent="0.35">
      <c r="A8" s="2">
        <v>45703</v>
      </c>
      <c r="B8" t="s">
        <v>30</v>
      </c>
      <c r="C8" s="5" t="s">
        <v>197</v>
      </c>
      <c r="D8" s="5"/>
      <c r="E8" s="5" t="s">
        <v>192</v>
      </c>
      <c r="F8" t="s">
        <v>198</v>
      </c>
      <c r="G8" t="s">
        <v>199</v>
      </c>
      <c r="H8" t="s">
        <v>200</v>
      </c>
      <c r="I8">
        <v>118285</v>
      </c>
      <c r="J8" t="s">
        <v>201</v>
      </c>
      <c r="K8" t="s">
        <v>52</v>
      </c>
      <c r="L8" t="s">
        <v>35</v>
      </c>
      <c r="M8">
        <v>118285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26"/>
  <sheetViews>
    <sheetView topLeftCell="A13" workbookViewId="0"/>
  </sheetViews>
  <sheetFormatPr defaultRowHeight="14.5" x14ac:dyDescent="0.35"/>
  <cols>
    <col min="1" max="1" width="10.08984375" bestFit="1" customWidth="1"/>
    <col min="6" max="6" width="17.26953125" bestFit="1" customWidth="1"/>
  </cols>
  <sheetData>
    <row r="1" spans="1:18" ht="18.5" customHeight="1" x14ac:dyDescent="0.45">
      <c r="A1" s="1" t="s">
        <v>0</v>
      </c>
      <c r="B1" s="1" t="s">
        <v>1</v>
      </c>
      <c r="C1" s="1" t="s">
        <v>356</v>
      </c>
      <c r="D1" s="1" t="s">
        <v>5</v>
      </c>
      <c r="E1" s="1" t="s">
        <v>6</v>
      </c>
      <c r="F1" s="1" t="s">
        <v>357</v>
      </c>
      <c r="G1" s="1" t="s">
        <v>8</v>
      </c>
      <c r="H1" s="1" t="s">
        <v>9</v>
      </c>
      <c r="I1" s="1" t="s">
        <v>358</v>
      </c>
      <c r="J1" s="1" t="s">
        <v>15</v>
      </c>
      <c r="K1" s="1" t="s">
        <v>359</v>
      </c>
      <c r="L1" s="1"/>
    </row>
    <row r="2" spans="1:18" x14ac:dyDescent="0.35">
      <c r="A2" s="2">
        <v>45259</v>
      </c>
      <c r="B2" t="s">
        <v>37</v>
      </c>
      <c r="C2" s="5" t="s">
        <v>38</v>
      </c>
      <c r="D2" s="5"/>
      <c r="E2" s="5"/>
      <c r="F2" t="s">
        <v>32</v>
      </c>
      <c r="G2" t="s">
        <v>33</v>
      </c>
      <c r="H2" t="s">
        <v>39</v>
      </c>
      <c r="I2">
        <v>39000</v>
      </c>
      <c r="J2">
        <v>-6</v>
      </c>
      <c r="K2" t="s">
        <v>28</v>
      </c>
      <c r="L2" t="s">
        <v>35</v>
      </c>
      <c r="M2">
        <v>39000</v>
      </c>
    </row>
    <row r="3" spans="1:18" x14ac:dyDescent="0.35">
      <c r="A3" s="2">
        <v>45259</v>
      </c>
      <c r="B3" t="s">
        <v>37</v>
      </c>
      <c r="C3" s="5" t="s">
        <v>38</v>
      </c>
      <c r="D3" s="5"/>
      <c r="E3" s="5"/>
      <c r="F3" t="s">
        <v>32</v>
      </c>
      <c r="G3" t="s">
        <v>33</v>
      </c>
      <c r="H3" t="s">
        <v>39</v>
      </c>
      <c r="I3">
        <v>38000</v>
      </c>
      <c r="J3">
        <v>-6</v>
      </c>
      <c r="K3" t="s">
        <v>28</v>
      </c>
      <c r="L3" t="s">
        <v>35</v>
      </c>
      <c r="M3">
        <v>38000</v>
      </c>
      <c r="P3" s="2"/>
      <c r="R3" s="2"/>
    </row>
    <row r="4" spans="1:18" x14ac:dyDescent="0.35">
      <c r="A4" s="2">
        <v>45300</v>
      </c>
      <c r="B4" t="s">
        <v>37</v>
      </c>
      <c r="C4" s="5" t="s">
        <v>63</v>
      </c>
      <c r="D4" s="5"/>
      <c r="E4" s="5"/>
      <c r="F4" t="s">
        <v>32</v>
      </c>
      <c r="G4" t="s">
        <v>33</v>
      </c>
      <c r="H4" t="s">
        <v>64</v>
      </c>
      <c r="I4">
        <v>52000</v>
      </c>
      <c r="J4">
        <v>-6</v>
      </c>
      <c r="K4" t="s">
        <v>65</v>
      </c>
      <c r="L4" t="s">
        <v>35</v>
      </c>
      <c r="M4">
        <v>52000</v>
      </c>
      <c r="P4" s="2"/>
      <c r="R4" s="2"/>
    </row>
    <row r="5" spans="1:18" x14ac:dyDescent="0.35">
      <c r="A5" s="2">
        <v>45335</v>
      </c>
      <c r="B5" t="s">
        <v>37</v>
      </c>
      <c r="C5" s="5" t="s">
        <v>63</v>
      </c>
      <c r="D5" s="5"/>
      <c r="E5" s="5"/>
      <c r="F5" t="s">
        <v>32</v>
      </c>
      <c r="G5" t="s">
        <v>33</v>
      </c>
      <c r="H5" t="s">
        <v>99</v>
      </c>
      <c r="I5">
        <v>50000</v>
      </c>
      <c r="J5">
        <v>-6</v>
      </c>
      <c r="K5" t="s">
        <v>28</v>
      </c>
      <c r="L5" t="s">
        <v>35</v>
      </c>
      <c r="M5">
        <v>50000</v>
      </c>
      <c r="P5" s="2"/>
      <c r="R5" s="2"/>
    </row>
    <row r="6" spans="1:18" x14ac:dyDescent="0.35">
      <c r="A6" s="2">
        <v>45442</v>
      </c>
      <c r="B6" t="s">
        <v>37</v>
      </c>
      <c r="C6" s="5" t="s">
        <v>105</v>
      </c>
      <c r="D6" s="5"/>
      <c r="E6" s="5" t="s">
        <v>36</v>
      </c>
      <c r="F6" t="s">
        <v>32</v>
      </c>
      <c r="G6" t="s">
        <v>33</v>
      </c>
      <c r="H6" t="s">
        <v>106</v>
      </c>
      <c r="I6">
        <v>50000</v>
      </c>
      <c r="J6">
        <v>-6</v>
      </c>
      <c r="K6" t="s">
        <v>65</v>
      </c>
      <c r="L6" t="s">
        <v>35</v>
      </c>
      <c r="M6">
        <v>50000</v>
      </c>
      <c r="P6" s="2"/>
      <c r="R6" s="2"/>
    </row>
    <row r="7" spans="1:18" x14ac:dyDescent="0.35">
      <c r="A7" s="2">
        <v>45465</v>
      </c>
      <c r="B7" t="s">
        <v>37</v>
      </c>
      <c r="C7" s="5" t="s">
        <v>120</v>
      </c>
      <c r="D7" s="5"/>
      <c r="E7" s="5"/>
      <c r="F7" t="s">
        <v>32</v>
      </c>
      <c r="G7" t="s">
        <v>50</v>
      </c>
      <c r="H7" t="s">
        <v>121</v>
      </c>
      <c r="I7">
        <v>30000</v>
      </c>
      <c r="J7">
        <v>-6</v>
      </c>
      <c r="K7" t="s">
        <v>52</v>
      </c>
      <c r="L7" t="s">
        <v>35</v>
      </c>
      <c r="M7">
        <v>30000</v>
      </c>
      <c r="P7" s="2"/>
      <c r="R7" s="2"/>
    </row>
    <row r="8" spans="1:18" x14ac:dyDescent="0.35">
      <c r="A8" s="2">
        <v>45484</v>
      </c>
      <c r="B8" t="s">
        <v>37</v>
      </c>
      <c r="C8" s="5" t="s">
        <v>120</v>
      </c>
      <c r="D8" s="5"/>
      <c r="E8" s="5"/>
      <c r="F8" t="s">
        <v>32</v>
      </c>
      <c r="G8" t="s">
        <v>50</v>
      </c>
      <c r="H8" t="s">
        <v>121</v>
      </c>
      <c r="I8">
        <v>29750</v>
      </c>
      <c r="J8">
        <v>-6</v>
      </c>
      <c r="K8" t="s">
        <v>52</v>
      </c>
      <c r="L8" t="s">
        <v>35</v>
      </c>
      <c r="M8">
        <v>29750</v>
      </c>
      <c r="P8" s="2"/>
      <c r="R8" s="2"/>
    </row>
    <row r="9" spans="1:18" x14ac:dyDescent="0.35">
      <c r="A9" s="2">
        <v>45553</v>
      </c>
      <c r="B9" t="s">
        <v>37</v>
      </c>
      <c r="C9" s="5" t="s">
        <v>105</v>
      </c>
      <c r="D9" s="5"/>
      <c r="E9" s="5" t="s">
        <v>36</v>
      </c>
      <c r="F9" t="s">
        <v>32</v>
      </c>
      <c r="G9" t="s">
        <v>33</v>
      </c>
      <c r="H9" t="s">
        <v>135</v>
      </c>
      <c r="I9">
        <v>47500</v>
      </c>
      <c r="J9">
        <v>-6</v>
      </c>
      <c r="K9" t="s">
        <v>52</v>
      </c>
      <c r="L9" t="s">
        <v>35</v>
      </c>
      <c r="M9">
        <v>47500</v>
      </c>
      <c r="P9" s="2"/>
      <c r="R9" s="2"/>
    </row>
    <row r="10" spans="1:18" x14ac:dyDescent="0.35">
      <c r="A10" s="2">
        <v>45553</v>
      </c>
      <c r="B10" t="s">
        <v>37</v>
      </c>
      <c r="C10" s="5" t="s">
        <v>105</v>
      </c>
      <c r="D10" s="5"/>
      <c r="E10" s="5" t="s">
        <v>36</v>
      </c>
      <c r="F10" t="s">
        <v>32</v>
      </c>
      <c r="G10" t="s">
        <v>33</v>
      </c>
      <c r="H10" t="s">
        <v>136</v>
      </c>
      <c r="I10">
        <v>47500</v>
      </c>
      <c r="J10">
        <v>-6</v>
      </c>
      <c r="K10" t="s">
        <v>28</v>
      </c>
      <c r="L10" t="s">
        <v>35</v>
      </c>
      <c r="M10">
        <v>47500</v>
      </c>
      <c r="P10" s="2"/>
      <c r="R10" s="2"/>
    </row>
    <row r="11" spans="1:18" x14ac:dyDescent="0.35">
      <c r="A11" s="2">
        <v>45950</v>
      </c>
      <c r="B11" t="s">
        <v>37</v>
      </c>
      <c r="C11" s="5" t="s">
        <v>120</v>
      </c>
      <c r="D11" s="5"/>
      <c r="E11" s="5"/>
      <c r="F11" t="s">
        <v>32</v>
      </c>
      <c r="G11" t="s">
        <v>50</v>
      </c>
      <c r="H11" t="s">
        <v>121</v>
      </c>
      <c r="I11">
        <v>29000</v>
      </c>
      <c r="J11">
        <v>-6</v>
      </c>
      <c r="K11" t="s">
        <v>52</v>
      </c>
      <c r="L11" t="s">
        <v>35</v>
      </c>
      <c r="M11">
        <v>29000</v>
      </c>
    </row>
    <row r="12" spans="1:18" x14ac:dyDescent="0.35">
      <c r="A12" s="2">
        <v>45687</v>
      </c>
      <c r="B12" t="s">
        <v>37</v>
      </c>
      <c r="C12" s="5" t="s">
        <v>105</v>
      </c>
      <c r="D12" s="5"/>
      <c r="E12" s="5"/>
      <c r="F12" t="s">
        <v>32</v>
      </c>
      <c r="G12" t="s">
        <v>50</v>
      </c>
      <c r="H12" t="s">
        <v>65</v>
      </c>
      <c r="I12">
        <v>43000</v>
      </c>
      <c r="J12">
        <v>-6</v>
      </c>
      <c r="K12" t="s">
        <v>65</v>
      </c>
      <c r="L12" t="s">
        <v>35</v>
      </c>
      <c r="M12">
        <v>43000</v>
      </c>
    </row>
    <row r="13" spans="1:18" x14ac:dyDescent="0.35">
      <c r="A13" s="2">
        <v>45688</v>
      </c>
      <c r="B13" t="s">
        <v>37</v>
      </c>
      <c r="C13" s="5" t="s">
        <v>105</v>
      </c>
      <c r="D13" s="5"/>
      <c r="E13" s="5"/>
      <c r="F13" t="s">
        <v>32</v>
      </c>
      <c r="G13" t="s">
        <v>50</v>
      </c>
      <c r="H13" t="s">
        <v>135</v>
      </c>
      <c r="I13">
        <v>44000</v>
      </c>
      <c r="J13">
        <v>-6</v>
      </c>
      <c r="K13" t="s">
        <v>52</v>
      </c>
      <c r="L13" t="s">
        <v>35</v>
      </c>
      <c r="M13">
        <v>44000</v>
      </c>
    </row>
    <row r="14" spans="1:18" x14ac:dyDescent="0.35">
      <c r="A14" s="2">
        <v>45719</v>
      </c>
      <c r="B14" t="s">
        <v>37</v>
      </c>
      <c r="C14" s="5" t="s">
        <v>105</v>
      </c>
      <c r="D14" s="5"/>
      <c r="E14" s="5"/>
      <c r="F14" t="s">
        <v>206</v>
      </c>
      <c r="G14" t="s">
        <v>50</v>
      </c>
      <c r="H14" t="s">
        <v>215</v>
      </c>
      <c r="I14">
        <v>43000</v>
      </c>
      <c r="J14">
        <v>-6</v>
      </c>
      <c r="L14" t="s">
        <v>35</v>
      </c>
      <c r="M14">
        <v>43000</v>
      </c>
    </row>
    <row r="15" spans="1:18" x14ac:dyDescent="0.35">
      <c r="A15" s="2">
        <v>45719</v>
      </c>
      <c r="B15" t="s">
        <v>37</v>
      </c>
      <c r="C15" s="5" t="s">
        <v>105</v>
      </c>
      <c r="D15" s="5"/>
      <c r="E15" s="5"/>
      <c r="F15" t="s">
        <v>206</v>
      </c>
      <c r="G15" t="s">
        <v>50</v>
      </c>
      <c r="H15" t="s">
        <v>135</v>
      </c>
      <c r="I15">
        <v>44000</v>
      </c>
      <c r="J15">
        <v>-6</v>
      </c>
      <c r="K15" t="s">
        <v>52</v>
      </c>
      <c r="L15" t="s">
        <v>35</v>
      </c>
      <c r="M15">
        <v>44000</v>
      </c>
    </row>
    <row r="16" spans="1:18" x14ac:dyDescent="0.35">
      <c r="A16" s="2">
        <v>414613</v>
      </c>
      <c r="B16" t="s">
        <v>37</v>
      </c>
      <c r="C16" s="5" t="s">
        <v>105</v>
      </c>
      <c r="D16" s="5"/>
      <c r="E16" s="5"/>
      <c r="F16" t="s">
        <v>206</v>
      </c>
      <c r="G16" t="s">
        <v>50</v>
      </c>
      <c r="H16" t="s">
        <v>116</v>
      </c>
      <c r="I16">
        <v>43000</v>
      </c>
      <c r="J16">
        <v>-6</v>
      </c>
      <c r="K16" t="s">
        <v>116</v>
      </c>
      <c r="L16" t="s">
        <v>35</v>
      </c>
      <c r="M16">
        <v>43000</v>
      </c>
    </row>
    <row r="17" spans="1:14" x14ac:dyDescent="0.35">
      <c r="A17" s="2">
        <v>45719</v>
      </c>
      <c r="B17" t="s">
        <v>37</v>
      </c>
      <c r="C17" s="5" t="s">
        <v>105</v>
      </c>
      <c r="D17" s="5"/>
      <c r="E17" s="5"/>
      <c r="F17" t="s">
        <v>206</v>
      </c>
      <c r="G17" t="s">
        <v>50</v>
      </c>
      <c r="H17" t="s">
        <v>136</v>
      </c>
      <c r="I17">
        <v>43000</v>
      </c>
      <c r="J17">
        <v>-6</v>
      </c>
      <c r="K17" t="s">
        <v>28</v>
      </c>
      <c r="L17" t="s">
        <v>35</v>
      </c>
      <c r="M17">
        <v>43000</v>
      </c>
    </row>
    <row r="18" spans="1:14" x14ac:dyDescent="0.35">
      <c r="A18" t="s">
        <v>216</v>
      </c>
      <c r="B18" t="s">
        <v>37</v>
      </c>
      <c r="C18" s="5" t="s">
        <v>105</v>
      </c>
      <c r="D18" s="5"/>
      <c r="E18" s="5"/>
      <c r="F18" t="s">
        <v>206</v>
      </c>
      <c r="G18" t="s">
        <v>50</v>
      </c>
      <c r="H18" t="s">
        <v>217</v>
      </c>
      <c r="I18">
        <v>43300</v>
      </c>
      <c r="J18">
        <v>-6</v>
      </c>
      <c r="L18" t="s">
        <v>35</v>
      </c>
      <c r="M18">
        <v>43300</v>
      </c>
    </row>
    <row r="19" spans="1:14" x14ac:dyDescent="0.35">
      <c r="A19" s="2">
        <v>45770</v>
      </c>
      <c r="B19" t="s">
        <v>37</v>
      </c>
      <c r="C19" s="5" t="s">
        <v>120</v>
      </c>
      <c r="D19" s="5"/>
      <c r="E19" s="5"/>
      <c r="F19" t="s">
        <v>206</v>
      </c>
      <c r="G19" t="s">
        <v>33</v>
      </c>
      <c r="H19" t="s">
        <v>121</v>
      </c>
      <c r="I19">
        <v>30000</v>
      </c>
      <c r="J19">
        <v>-6</v>
      </c>
      <c r="K19" t="s">
        <v>52</v>
      </c>
      <c r="L19" t="s">
        <v>35</v>
      </c>
      <c r="M19">
        <v>30000</v>
      </c>
      <c r="N19">
        <v>-6</v>
      </c>
    </row>
    <row r="20" spans="1:14" x14ac:dyDescent="0.35">
      <c r="A20" s="2">
        <v>45775</v>
      </c>
      <c r="B20" t="s">
        <v>37</v>
      </c>
      <c r="C20" s="5" t="s">
        <v>239</v>
      </c>
      <c r="D20" s="5"/>
      <c r="E20" s="5"/>
      <c r="F20" t="s">
        <v>240</v>
      </c>
      <c r="G20" t="s">
        <v>50</v>
      </c>
      <c r="H20" t="s">
        <v>106</v>
      </c>
      <c r="I20">
        <v>29000</v>
      </c>
      <c r="J20">
        <v>-6</v>
      </c>
      <c r="K20" t="s">
        <v>65</v>
      </c>
      <c r="L20" t="s">
        <v>35</v>
      </c>
      <c r="M20">
        <v>29000</v>
      </c>
      <c r="N20">
        <v>-6</v>
      </c>
    </row>
    <row r="21" spans="1:14" x14ac:dyDescent="0.35">
      <c r="A21" s="2">
        <v>45804</v>
      </c>
      <c r="B21" t="s">
        <v>37</v>
      </c>
      <c r="C21" s="5" t="s">
        <v>120</v>
      </c>
      <c r="D21" s="5"/>
      <c r="E21" s="5"/>
      <c r="F21" t="s">
        <v>206</v>
      </c>
      <c r="G21" t="s">
        <v>33</v>
      </c>
      <c r="H21" t="s">
        <v>121</v>
      </c>
      <c r="I21">
        <v>29000</v>
      </c>
      <c r="J21">
        <v>-6</v>
      </c>
      <c r="K21" t="s">
        <v>52</v>
      </c>
      <c r="L21" t="s">
        <v>35</v>
      </c>
      <c r="M21">
        <v>29000</v>
      </c>
      <c r="N21">
        <v>-6</v>
      </c>
    </row>
    <row r="22" spans="1:14" x14ac:dyDescent="0.35">
      <c r="A22" s="2">
        <v>45813</v>
      </c>
      <c r="B22" t="s">
        <v>37</v>
      </c>
      <c r="C22" s="5" t="s">
        <v>254</v>
      </c>
      <c r="D22" s="5"/>
      <c r="E22" s="5"/>
      <c r="F22" t="s">
        <v>206</v>
      </c>
      <c r="G22" t="s">
        <v>33</v>
      </c>
      <c r="H22" t="s">
        <v>255</v>
      </c>
      <c r="I22">
        <v>37000</v>
      </c>
      <c r="J22">
        <v>-6</v>
      </c>
      <c r="L22" t="s">
        <v>35</v>
      </c>
      <c r="M22">
        <v>37000</v>
      </c>
      <c r="N22">
        <v>-6</v>
      </c>
    </row>
    <row r="23" spans="1:14" x14ac:dyDescent="0.35">
      <c r="A23" s="2">
        <v>45813</v>
      </c>
      <c r="B23" t="s">
        <v>37</v>
      </c>
      <c r="C23" s="5" t="s">
        <v>239</v>
      </c>
      <c r="D23" s="5"/>
      <c r="E23" s="5"/>
      <c r="F23" t="s">
        <v>206</v>
      </c>
      <c r="G23" t="s">
        <v>33</v>
      </c>
      <c r="H23" t="s">
        <v>255</v>
      </c>
      <c r="I23">
        <v>32750</v>
      </c>
      <c r="J23">
        <v>-6</v>
      </c>
      <c r="L23" t="s">
        <v>35</v>
      </c>
      <c r="M23">
        <v>32750</v>
      </c>
      <c r="N23">
        <v>-6</v>
      </c>
    </row>
    <row r="24" spans="1:14" x14ac:dyDescent="0.35">
      <c r="A24" s="2">
        <v>45887</v>
      </c>
      <c r="B24" t="s">
        <v>37</v>
      </c>
      <c r="C24" s="5"/>
      <c r="D24" s="5"/>
      <c r="E24" s="5"/>
      <c r="F24" t="s">
        <v>206</v>
      </c>
      <c r="G24" t="s">
        <v>33</v>
      </c>
      <c r="H24" t="s">
        <v>294</v>
      </c>
      <c r="I24">
        <v>44000</v>
      </c>
      <c r="J24">
        <v>-6</v>
      </c>
      <c r="K24" t="s">
        <v>28</v>
      </c>
      <c r="L24" t="s">
        <v>35</v>
      </c>
      <c r="M24">
        <v>44000</v>
      </c>
      <c r="N24">
        <v>-6</v>
      </c>
    </row>
    <row r="25" spans="1:14" x14ac:dyDescent="0.35">
      <c r="A25" s="2">
        <v>45909</v>
      </c>
      <c r="B25" t="s">
        <v>37</v>
      </c>
      <c r="C25" s="5" t="s">
        <v>302</v>
      </c>
      <c r="D25" s="5"/>
      <c r="E25" s="5"/>
      <c r="F25" t="s">
        <v>240</v>
      </c>
      <c r="G25" t="s">
        <v>33</v>
      </c>
      <c r="H25" t="s">
        <v>294</v>
      </c>
      <c r="I25">
        <v>60000</v>
      </c>
      <c r="J25">
        <v>-6</v>
      </c>
      <c r="K25" t="s">
        <v>28</v>
      </c>
      <c r="L25" t="s">
        <v>35</v>
      </c>
      <c r="M25">
        <v>60000</v>
      </c>
      <c r="N25">
        <v>-6</v>
      </c>
    </row>
    <row r="26" spans="1:14" x14ac:dyDescent="0.35">
      <c r="A26" s="2">
        <v>45909</v>
      </c>
      <c r="B26" t="s">
        <v>37</v>
      </c>
      <c r="C26" s="5" t="s">
        <v>302</v>
      </c>
      <c r="D26" s="5"/>
      <c r="E26" s="5"/>
      <c r="F26" t="s">
        <v>206</v>
      </c>
      <c r="G26" t="s">
        <v>33</v>
      </c>
      <c r="H26" t="s">
        <v>294</v>
      </c>
      <c r="I26">
        <v>54000</v>
      </c>
      <c r="J26">
        <v>-6</v>
      </c>
      <c r="K26" t="s">
        <v>28</v>
      </c>
      <c r="L26" t="s">
        <v>35</v>
      </c>
      <c r="M26">
        <v>54000</v>
      </c>
      <c r="N26">
        <v>-6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R3"/>
  <sheetViews>
    <sheetView workbookViewId="0"/>
  </sheetViews>
  <sheetFormatPr defaultRowHeight="14.5" x14ac:dyDescent="0.35"/>
  <cols>
    <col min="1" max="1" width="10.08984375" bestFit="1" customWidth="1"/>
  </cols>
  <sheetData>
    <row r="1" spans="1:18" ht="18.5" customHeight="1" x14ac:dyDescent="0.45">
      <c r="A1" s="1" t="s">
        <v>0</v>
      </c>
      <c r="B1" s="1" t="s">
        <v>1</v>
      </c>
      <c r="C1" s="1" t="s">
        <v>356</v>
      </c>
      <c r="D1" s="1" t="s">
        <v>5</v>
      </c>
      <c r="E1" s="1" t="s">
        <v>6</v>
      </c>
      <c r="F1" s="1" t="s">
        <v>357</v>
      </c>
      <c r="G1" s="1" t="s">
        <v>8</v>
      </c>
      <c r="H1" s="1" t="s">
        <v>9</v>
      </c>
      <c r="I1" s="1" t="s">
        <v>358</v>
      </c>
      <c r="J1" s="1" t="s">
        <v>15</v>
      </c>
      <c r="K1" s="1" t="s">
        <v>359</v>
      </c>
      <c r="L1" s="1"/>
    </row>
    <row r="2" spans="1:18" x14ac:dyDescent="0.35">
      <c r="A2" s="2">
        <v>45259</v>
      </c>
      <c r="B2" t="s">
        <v>40</v>
      </c>
      <c r="C2" s="5" t="s">
        <v>41</v>
      </c>
      <c r="D2" s="5"/>
      <c r="E2" s="5"/>
      <c r="F2" t="s">
        <v>32</v>
      </c>
      <c r="G2" t="s">
        <v>33</v>
      </c>
      <c r="H2" t="s">
        <v>34</v>
      </c>
      <c r="I2">
        <v>42000</v>
      </c>
      <c r="J2">
        <v>-4</v>
      </c>
      <c r="K2" t="s">
        <v>28</v>
      </c>
      <c r="L2" t="s">
        <v>35</v>
      </c>
      <c r="M2">
        <v>42000</v>
      </c>
      <c r="P2" s="2"/>
      <c r="R2" s="2"/>
    </row>
    <row r="3" spans="1:18" x14ac:dyDescent="0.35">
      <c r="A3" s="2">
        <v>45842</v>
      </c>
      <c r="B3" t="s">
        <v>40</v>
      </c>
      <c r="C3" s="5"/>
      <c r="D3" s="5" t="s">
        <v>43</v>
      </c>
      <c r="E3" s="5"/>
      <c r="F3" t="s">
        <v>178</v>
      </c>
      <c r="G3" t="s">
        <v>179</v>
      </c>
      <c r="H3" t="s">
        <v>180</v>
      </c>
      <c r="I3">
        <v>82000</v>
      </c>
      <c r="J3">
        <v>-4</v>
      </c>
      <c r="K3" t="s">
        <v>28</v>
      </c>
      <c r="L3" t="s">
        <v>53</v>
      </c>
      <c r="M3">
        <v>83500</v>
      </c>
      <c r="N3">
        <v>120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R105"/>
  <sheetViews>
    <sheetView topLeftCell="A52" workbookViewId="0"/>
  </sheetViews>
  <sheetFormatPr defaultRowHeight="14.5" x14ac:dyDescent="0.35"/>
  <cols>
    <col min="1" max="1" width="10.08984375" bestFit="1" customWidth="1"/>
    <col min="3" max="3" width="12.36328125" bestFit="1" customWidth="1"/>
    <col min="6" max="6" width="19.08984375" bestFit="1" customWidth="1"/>
    <col min="8" max="8" width="19.08984375" bestFit="1" customWidth="1"/>
  </cols>
  <sheetData>
    <row r="1" spans="1:18" ht="18.5" customHeight="1" x14ac:dyDescent="0.45">
      <c r="A1" s="1" t="s">
        <v>0</v>
      </c>
      <c r="B1" s="1" t="s">
        <v>1</v>
      </c>
      <c r="C1" s="1" t="s">
        <v>356</v>
      </c>
      <c r="D1" s="1" t="s">
        <v>5</v>
      </c>
      <c r="E1" s="1" t="s">
        <v>6</v>
      </c>
      <c r="F1" s="1" t="s">
        <v>357</v>
      </c>
      <c r="G1" s="1" t="s">
        <v>8</v>
      </c>
      <c r="H1" s="1" t="s">
        <v>9</v>
      </c>
      <c r="I1" s="1" t="s">
        <v>358</v>
      </c>
      <c r="J1" s="1" t="s">
        <v>15</v>
      </c>
      <c r="K1" s="1" t="s">
        <v>359</v>
      </c>
      <c r="L1" s="1"/>
    </row>
    <row r="2" spans="1:18" x14ac:dyDescent="0.35">
      <c r="A2" s="2">
        <v>45265</v>
      </c>
      <c r="B2" t="s">
        <v>42</v>
      </c>
      <c r="C2" s="5"/>
      <c r="D2" s="5" t="s">
        <v>48</v>
      </c>
      <c r="E2" s="5"/>
      <c r="F2" t="s">
        <v>49</v>
      </c>
      <c r="G2" t="s">
        <v>50</v>
      </c>
      <c r="H2" t="s">
        <v>51</v>
      </c>
      <c r="I2">
        <v>17250</v>
      </c>
      <c r="J2" t="s">
        <v>361</v>
      </c>
      <c r="K2" t="s">
        <v>52</v>
      </c>
      <c r="L2" t="s">
        <v>53</v>
      </c>
      <c r="M2">
        <v>17500</v>
      </c>
      <c r="N2" t="s">
        <v>362</v>
      </c>
      <c r="P2" s="2"/>
      <c r="R2" s="2"/>
    </row>
    <row r="3" spans="1:18" x14ac:dyDescent="0.35">
      <c r="A3" s="2">
        <v>45273</v>
      </c>
      <c r="B3" t="s">
        <v>42</v>
      </c>
      <c r="C3" s="5"/>
      <c r="D3" s="5" t="s">
        <v>59</v>
      </c>
      <c r="E3" s="5"/>
      <c r="F3" t="s">
        <v>49</v>
      </c>
      <c r="G3" t="s">
        <v>60</v>
      </c>
      <c r="H3" t="s">
        <v>61</v>
      </c>
      <c r="I3">
        <v>14000</v>
      </c>
      <c r="J3">
        <v>-8</v>
      </c>
      <c r="K3" t="s">
        <v>52</v>
      </c>
      <c r="L3" t="s">
        <v>53</v>
      </c>
      <c r="M3">
        <v>14000</v>
      </c>
      <c r="N3" t="s">
        <v>363</v>
      </c>
      <c r="P3" s="2"/>
      <c r="R3" s="2"/>
    </row>
    <row r="4" spans="1:18" x14ac:dyDescent="0.35">
      <c r="A4" s="2">
        <v>45290</v>
      </c>
      <c r="B4" t="s">
        <v>42</v>
      </c>
      <c r="C4" s="5"/>
      <c r="D4" s="5" t="s">
        <v>59</v>
      </c>
      <c r="E4" s="5"/>
      <c r="F4" t="s">
        <v>32</v>
      </c>
      <c r="G4" t="s">
        <v>33</v>
      </c>
      <c r="H4" t="s">
        <v>61</v>
      </c>
      <c r="I4">
        <v>34000</v>
      </c>
      <c r="J4">
        <v>-6</v>
      </c>
      <c r="K4" t="s">
        <v>62</v>
      </c>
      <c r="L4" t="s">
        <v>35</v>
      </c>
      <c r="M4">
        <v>34000</v>
      </c>
      <c r="P4" s="2"/>
      <c r="R4" s="2"/>
    </row>
    <row r="5" spans="1:18" x14ac:dyDescent="0.35">
      <c r="A5" s="2">
        <v>45325</v>
      </c>
      <c r="B5" t="s">
        <v>42</v>
      </c>
      <c r="C5" s="5"/>
      <c r="D5" s="5" t="s">
        <v>71</v>
      </c>
      <c r="E5" s="5"/>
      <c r="F5" t="s">
        <v>72</v>
      </c>
      <c r="H5" t="s">
        <v>73</v>
      </c>
      <c r="I5">
        <v>21250</v>
      </c>
      <c r="J5">
        <v>-8</v>
      </c>
      <c r="K5" t="s">
        <v>52</v>
      </c>
      <c r="L5" t="s">
        <v>74</v>
      </c>
      <c r="M5">
        <v>21500</v>
      </c>
      <c r="N5">
        <v>-6</v>
      </c>
      <c r="P5" s="2"/>
      <c r="R5" s="2"/>
    </row>
    <row r="6" spans="1:18" x14ac:dyDescent="0.35">
      <c r="A6" s="2">
        <v>45329</v>
      </c>
      <c r="B6" t="s">
        <v>42</v>
      </c>
      <c r="C6" s="5"/>
      <c r="D6" s="5" t="s">
        <v>76</v>
      </c>
      <c r="E6" s="5"/>
      <c r="F6" t="s">
        <v>72</v>
      </c>
      <c r="G6" t="s">
        <v>50</v>
      </c>
      <c r="H6" t="s">
        <v>61</v>
      </c>
      <c r="I6">
        <v>17750</v>
      </c>
      <c r="J6">
        <v>-8</v>
      </c>
      <c r="K6" t="s">
        <v>52</v>
      </c>
      <c r="L6" t="s">
        <v>53</v>
      </c>
      <c r="M6">
        <v>17750</v>
      </c>
      <c r="N6" t="s">
        <v>363</v>
      </c>
      <c r="P6" s="2"/>
      <c r="R6" s="2"/>
    </row>
    <row r="7" spans="1:18" x14ac:dyDescent="0.35">
      <c r="A7" s="2">
        <v>45330</v>
      </c>
      <c r="B7" t="s">
        <v>42</v>
      </c>
      <c r="C7" s="5"/>
      <c r="D7" s="5" t="s">
        <v>77</v>
      </c>
      <c r="E7" s="5"/>
      <c r="F7" t="s">
        <v>32</v>
      </c>
      <c r="G7" t="s">
        <v>44</v>
      </c>
      <c r="H7" t="s">
        <v>78</v>
      </c>
      <c r="I7">
        <v>34000</v>
      </c>
      <c r="J7">
        <v>-4</v>
      </c>
      <c r="K7" t="s">
        <v>79</v>
      </c>
      <c r="L7" t="s">
        <v>80</v>
      </c>
      <c r="M7">
        <v>34000</v>
      </c>
      <c r="P7" s="2"/>
      <c r="R7" s="2"/>
    </row>
    <row r="8" spans="1:18" x14ac:dyDescent="0.35">
      <c r="A8" s="3">
        <v>45335</v>
      </c>
      <c r="B8" t="s">
        <v>42</v>
      </c>
      <c r="C8" s="5" t="s">
        <v>84</v>
      </c>
      <c r="D8" s="5"/>
      <c r="E8" s="5"/>
      <c r="F8" t="s">
        <v>32</v>
      </c>
      <c r="G8" t="s">
        <v>50</v>
      </c>
      <c r="H8" t="s">
        <v>85</v>
      </c>
      <c r="I8">
        <v>53000</v>
      </c>
      <c r="J8">
        <v>-6</v>
      </c>
      <c r="K8" t="s">
        <v>79</v>
      </c>
      <c r="L8" t="s">
        <v>35</v>
      </c>
      <c r="M8">
        <v>53000</v>
      </c>
      <c r="P8" s="2"/>
      <c r="R8" s="2"/>
    </row>
    <row r="9" spans="1:18" x14ac:dyDescent="0.35">
      <c r="A9" s="2">
        <v>45348</v>
      </c>
      <c r="B9" t="s">
        <v>42</v>
      </c>
      <c r="C9" s="5"/>
      <c r="D9" s="5" t="s">
        <v>90</v>
      </c>
      <c r="E9" s="5"/>
      <c r="F9" t="s">
        <v>91</v>
      </c>
      <c r="H9" t="s">
        <v>92</v>
      </c>
      <c r="I9">
        <v>52500</v>
      </c>
      <c r="J9">
        <v>-6</v>
      </c>
      <c r="L9" t="s">
        <v>35</v>
      </c>
      <c r="M9">
        <v>52500</v>
      </c>
      <c r="P9" s="2"/>
      <c r="R9" s="2"/>
    </row>
    <row r="10" spans="1:18" x14ac:dyDescent="0.35">
      <c r="A10" s="2">
        <v>45350</v>
      </c>
      <c r="B10" t="s">
        <v>42</v>
      </c>
      <c r="C10" s="5"/>
      <c r="D10" s="5" t="s">
        <v>48</v>
      </c>
      <c r="E10" s="5"/>
      <c r="F10" t="s">
        <v>49</v>
      </c>
      <c r="G10" t="s">
        <v>50</v>
      </c>
      <c r="H10" t="s">
        <v>61</v>
      </c>
      <c r="I10">
        <v>17250</v>
      </c>
      <c r="J10">
        <v>-8</v>
      </c>
      <c r="K10" t="s">
        <v>52</v>
      </c>
      <c r="L10" t="s">
        <v>53</v>
      </c>
      <c r="M10">
        <v>17431</v>
      </c>
      <c r="N10" t="s">
        <v>363</v>
      </c>
      <c r="P10" s="2"/>
      <c r="R10" s="2"/>
    </row>
    <row r="11" spans="1:18" x14ac:dyDescent="0.35">
      <c r="A11" s="2">
        <v>45351</v>
      </c>
      <c r="B11" t="s">
        <v>42</v>
      </c>
      <c r="C11" s="5"/>
      <c r="D11" s="5" t="s">
        <v>93</v>
      </c>
      <c r="E11" s="5"/>
      <c r="F11" t="s">
        <v>32</v>
      </c>
      <c r="G11" t="s">
        <v>44</v>
      </c>
      <c r="H11" t="s">
        <v>94</v>
      </c>
      <c r="I11">
        <v>73500</v>
      </c>
      <c r="J11">
        <v>-4</v>
      </c>
      <c r="K11" t="s">
        <v>95</v>
      </c>
      <c r="L11" t="s">
        <v>80</v>
      </c>
      <c r="M11">
        <v>73500</v>
      </c>
      <c r="P11" s="2"/>
      <c r="R11" s="2"/>
    </row>
    <row r="12" spans="1:18" x14ac:dyDescent="0.35">
      <c r="A12" s="2">
        <v>45352</v>
      </c>
      <c r="B12" t="s">
        <v>42</v>
      </c>
      <c r="C12" s="5"/>
      <c r="D12" s="5" t="s">
        <v>48</v>
      </c>
      <c r="E12" s="5"/>
      <c r="F12" t="s">
        <v>32</v>
      </c>
      <c r="G12" t="s">
        <v>33</v>
      </c>
      <c r="H12" t="s">
        <v>96</v>
      </c>
      <c r="I12">
        <v>33300</v>
      </c>
      <c r="J12">
        <v>-6</v>
      </c>
      <c r="K12" t="s">
        <v>97</v>
      </c>
      <c r="L12" t="s">
        <v>35</v>
      </c>
      <c r="M12">
        <v>33300</v>
      </c>
      <c r="P12" s="2"/>
      <c r="R12" s="2"/>
    </row>
    <row r="13" spans="1:18" x14ac:dyDescent="0.35">
      <c r="A13" s="2">
        <v>45356</v>
      </c>
      <c r="B13" t="s">
        <v>42</v>
      </c>
      <c r="C13" s="5"/>
      <c r="D13" s="5" t="s">
        <v>98</v>
      </c>
      <c r="E13" s="5"/>
      <c r="F13" t="s">
        <v>32</v>
      </c>
      <c r="G13" t="s">
        <v>33</v>
      </c>
      <c r="H13" t="s">
        <v>96</v>
      </c>
      <c r="I13">
        <v>33000</v>
      </c>
      <c r="J13">
        <v>-6</v>
      </c>
      <c r="K13" t="s">
        <v>97</v>
      </c>
      <c r="L13" t="s">
        <v>35</v>
      </c>
      <c r="M13">
        <v>33000</v>
      </c>
      <c r="P13" s="2"/>
      <c r="R13" s="2"/>
    </row>
    <row r="14" spans="1:18" x14ac:dyDescent="0.35">
      <c r="A14" s="2">
        <v>45380</v>
      </c>
      <c r="B14" t="s">
        <v>42</v>
      </c>
      <c r="C14" s="5"/>
      <c r="D14" s="5" t="s">
        <v>101</v>
      </c>
      <c r="E14" s="5"/>
      <c r="F14" t="s">
        <v>72</v>
      </c>
      <c r="H14" t="s">
        <v>73</v>
      </c>
      <c r="I14">
        <v>26760</v>
      </c>
      <c r="J14">
        <v>-8</v>
      </c>
      <c r="K14" t="s">
        <v>52</v>
      </c>
      <c r="L14" t="s">
        <v>74</v>
      </c>
      <c r="M14">
        <v>26800</v>
      </c>
      <c r="N14">
        <v>-8</v>
      </c>
      <c r="P14" s="2"/>
      <c r="R14" s="2"/>
    </row>
    <row r="15" spans="1:18" x14ac:dyDescent="0.35">
      <c r="A15" s="2">
        <v>45384</v>
      </c>
      <c r="B15" t="s">
        <v>42</v>
      </c>
      <c r="C15" s="5"/>
      <c r="D15" s="5" t="s">
        <v>48</v>
      </c>
      <c r="E15" s="5"/>
      <c r="F15" t="s">
        <v>32</v>
      </c>
      <c r="G15" t="s">
        <v>33</v>
      </c>
      <c r="H15" t="s">
        <v>85</v>
      </c>
      <c r="I15">
        <v>33400</v>
      </c>
      <c r="J15">
        <v>-6</v>
      </c>
      <c r="K15" t="s">
        <v>79</v>
      </c>
      <c r="L15" t="s">
        <v>35</v>
      </c>
      <c r="M15">
        <v>33400</v>
      </c>
      <c r="P15" s="2"/>
      <c r="R15" s="2"/>
    </row>
    <row r="16" spans="1:18" x14ac:dyDescent="0.35">
      <c r="A16" s="2">
        <v>45386</v>
      </c>
      <c r="B16" t="s">
        <v>42</v>
      </c>
      <c r="C16" s="5"/>
      <c r="D16" s="5" t="s">
        <v>102</v>
      </c>
      <c r="E16" s="5"/>
      <c r="F16" t="s">
        <v>32</v>
      </c>
      <c r="G16" t="s">
        <v>33</v>
      </c>
      <c r="H16" t="s">
        <v>103</v>
      </c>
      <c r="I16">
        <v>34000</v>
      </c>
      <c r="J16">
        <v>-6</v>
      </c>
      <c r="K16" t="s">
        <v>47</v>
      </c>
      <c r="L16" t="s">
        <v>35</v>
      </c>
      <c r="M16">
        <v>34000</v>
      </c>
      <c r="P16" s="2"/>
      <c r="R16" s="2"/>
    </row>
    <row r="17" spans="1:18" x14ac:dyDescent="0.35">
      <c r="A17" s="2">
        <v>45421</v>
      </c>
      <c r="B17" t="s">
        <v>42</v>
      </c>
      <c r="C17" s="5"/>
      <c r="D17" s="5" t="s">
        <v>101</v>
      </c>
      <c r="E17" s="5"/>
      <c r="F17" t="s">
        <v>72</v>
      </c>
      <c r="H17" t="s">
        <v>73</v>
      </c>
      <c r="I17">
        <v>22000</v>
      </c>
      <c r="J17">
        <v>-8</v>
      </c>
      <c r="K17" t="s">
        <v>52</v>
      </c>
      <c r="L17" t="s">
        <v>74</v>
      </c>
      <c r="M17">
        <v>22000</v>
      </c>
      <c r="N17">
        <v>-6</v>
      </c>
      <c r="P17" s="2"/>
      <c r="R17" s="2"/>
    </row>
    <row r="18" spans="1:18" x14ac:dyDescent="0.35">
      <c r="A18" s="2">
        <v>45422</v>
      </c>
      <c r="B18" t="s">
        <v>42</v>
      </c>
      <c r="C18" s="5"/>
      <c r="D18" s="5" t="s">
        <v>104</v>
      </c>
      <c r="E18" s="5"/>
      <c r="F18" t="s">
        <v>32</v>
      </c>
      <c r="G18" t="s">
        <v>50</v>
      </c>
      <c r="H18" t="s">
        <v>85</v>
      </c>
      <c r="I18">
        <v>28500</v>
      </c>
      <c r="J18">
        <v>-6</v>
      </c>
      <c r="K18" t="s">
        <v>79</v>
      </c>
      <c r="L18" t="s">
        <v>35</v>
      </c>
      <c r="M18">
        <v>28500</v>
      </c>
      <c r="P18" s="2"/>
      <c r="R18" s="2"/>
    </row>
    <row r="19" spans="1:18" x14ac:dyDescent="0.35">
      <c r="A19" s="2">
        <v>45442</v>
      </c>
      <c r="B19" t="s">
        <v>42</v>
      </c>
      <c r="C19" s="5"/>
      <c r="D19" s="5" t="s">
        <v>104</v>
      </c>
      <c r="E19" s="5"/>
      <c r="F19" t="s">
        <v>72</v>
      </c>
      <c r="H19" t="s">
        <v>51</v>
      </c>
      <c r="I19">
        <v>26750</v>
      </c>
      <c r="J19">
        <v>-9</v>
      </c>
      <c r="K19" t="s">
        <v>52</v>
      </c>
      <c r="L19" t="s">
        <v>74</v>
      </c>
      <c r="M19">
        <v>26900</v>
      </c>
      <c r="N19">
        <v>-6</v>
      </c>
      <c r="P19" s="2"/>
      <c r="R19" s="2"/>
    </row>
    <row r="20" spans="1:18" x14ac:dyDescent="0.35">
      <c r="A20" s="2">
        <v>45449</v>
      </c>
      <c r="B20" t="s">
        <v>42</v>
      </c>
      <c r="C20" s="5"/>
      <c r="D20" s="5" t="s">
        <v>104</v>
      </c>
      <c r="E20" s="5"/>
      <c r="F20" t="s">
        <v>72</v>
      </c>
      <c r="H20" t="s">
        <v>107</v>
      </c>
      <c r="I20">
        <v>22000</v>
      </c>
      <c r="J20">
        <v>-8</v>
      </c>
      <c r="K20" t="s">
        <v>52</v>
      </c>
      <c r="L20" t="s">
        <v>74</v>
      </c>
      <c r="M20">
        <v>22000</v>
      </c>
      <c r="N20">
        <v>-6</v>
      </c>
      <c r="P20" s="2"/>
      <c r="R20" s="2"/>
    </row>
    <row r="21" spans="1:18" x14ac:dyDescent="0.35">
      <c r="A21" s="2">
        <v>45457</v>
      </c>
      <c r="B21" t="s">
        <v>42</v>
      </c>
      <c r="C21" s="5"/>
      <c r="D21" s="5" t="s">
        <v>101</v>
      </c>
      <c r="E21" s="5"/>
      <c r="F21" t="s">
        <v>32</v>
      </c>
      <c r="G21" t="s">
        <v>33</v>
      </c>
      <c r="H21" t="s">
        <v>108</v>
      </c>
      <c r="I21">
        <v>50000</v>
      </c>
      <c r="J21">
        <v>-6</v>
      </c>
      <c r="K21" t="s">
        <v>27</v>
      </c>
      <c r="L21" t="s">
        <v>35</v>
      </c>
      <c r="M21">
        <v>50000</v>
      </c>
      <c r="P21" s="2"/>
      <c r="R21" s="2"/>
    </row>
    <row r="22" spans="1:18" x14ac:dyDescent="0.35">
      <c r="A22" s="2">
        <v>45460</v>
      </c>
      <c r="B22" t="s">
        <v>42</v>
      </c>
      <c r="C22" s="5"/>
      <c r="D22" s="5" t="s">
        <v>109</v>
      </c>
      <c r="E22" s="5"/>
      <c r="F22" t="s">
        <v>32</v>
      </c>
      <c r="G22" t="s">
        <v>33</v>
      </c>
      <c r="H22" t="s">
        <v>110</v>
      </c>
      <c r="I22">
        <v>50000</v>
      </c>
      <c r="J22">
        <v>-6</v>
      </c>
      <c r="K22" t="s">
        <v>47</v>
      </c>
      <c r="L22" t="s">
        <v>35</v>
      </c>
      <c r="M22">
        <v>50000</v>
      </c>
      <c r="P22" s="2"/>
      <c r="R22" s="2"/>
    </row>
    <row r="23" spans="1:18" x14ac:dyDescent="0.35">
      <c r="A23" s="2">
        <v>45461</v>
      </c>
      <c r="B23" t="s">
        <v>42</v>
      </c>
      <c r="C23" s="5"/>
      <c r="D23" s="5" t="s">
        <v>111</v>
      </c>
      <c r="E23" s="5"/>
      <c r="F23" t="s">
        <v>56</v>
      </c>
      <c r="G23" t="s">
        <v>33</v>
      </c>
      <c r="H23" t="s">
        <v>112</v>
      </c>
      <c r="I23">
        <v>52500</v>
      </c>
      <c r="J23">
        <v>-6</v>
      </c>
      <c r="K23" t="s">
        <v>28</v>
      </c>
      <c r="L23" t="s">
        <v>53</v>
      </c>
      <c r="M23">
        <v>56000</v>
      </c>
      <c r="N23" t="s">
        <v>360</v>
      </c>
      <c r="P23" s="2"/>
      <c r="R23" s="2"/>
    </row>
    <row r="24" spans="1:18" x14ac:dyDescent="0.35">
      <c r="A24" s="2">
        <v>45461</v>
      </c>
      <c r="B24" t="s">
        <v>42</v>
      </c>
      <c r="C24" s="5"/>
      <c r="D24" s="5" t="s">
        <v>113</v>
      </c>
      <c r="E24" s="5"/>
      <c r="F24" t="s">
        <v>56</v>
      </c>
      <c r="G24" t="s">
        <v>33</v>
      </c>
      <c r="H24" t="s">
        <v>112</v>
      </c>
      <c r="I24">
        <v>46000</v>
      </c>
      <c r="J24">
        <v>-6</v>
      </c>
      <c r="K24" t="s">
        <v>28</v>
      </c>
      <c r="L24" t="s">
        <v>53</v>
      </c>
      <c r="M24">
        <v>46000</v>
      </c>
      <c r="N24" t="s">
        <v>360</v>
      </c>
      <c r="P24" s="2"/>
      <c r="R24" s="2"/>
    </row>
    <row r="25" spans="1:18" x14ac:dyDescent="0.35">
      <c r="A25" s="2">
        <v>45461</v>
      </c>
      <c r="B25" t="s">
        <v>42</v>
      </c>
      <c r="C25" s="5"/>
      <c r="D25" s="5" t="s">
        <v>114</v>
      </c>
      <c r="E25" s="5"/>
      <c r="F25" t="s">
        <v>56</v>
      </c>
      <c r="G25" t="s">
        <v>33</v>
      </c>
      <c r="H25" t="s">
        <v>115</v>
      </c>
      <c r="I25">
        <v>39500</v>
      </c>
      <c r="J25">
        <v>-6</v>
      </c>
      <c r="K25" t="s">
        <v>116</v>
      </c>
      <c r="L25" t="s">
        <v>53</v>
      </c>
      <c r="M25">
        <v>41000</v>
      </c>
      <c r="N25" t="s">
        <v>360</v>
      </c>
      <c r="P25" s="2"/>
      <c r="R25" s="2"/>
    </row>
    <row r="26" spans="1:18" x14ac:dyDescent="0.35">
      <c r="A26" s="2">
        <v>45467</v>
      </c>
      <c r="B26" t="s">
        <v>42</v>
      </c>
      <c r="C26" s="5" t="s">
        <v>122</v>
      </c>
      <c r="D26" s="5" t="s">
        <v>111</v>
      </c>
      <c r="E26" s="5"/>
      <c r="F26" t="s">
        <v>56</v>
      </c>
      <c r="G26" t="s">
        <v>33</v>
      </c>
      <c r="H26" t="s">
        <v>112</v>
      </c>
      <c r="I26">
        <v>52500</v>
      </c>
      <c r="J26">
        <v>-6</v>
      </c>
      <c r="K26" t="s">
        <v>28</v>
      </c>
      <c r="L26" t="s">
        <v>53</v>
      </c>
      <c r="M26">
        <v>56000</v>
      </c>
      <c r="N26" t="s">
        <v>360</v>
      </c>
      <c r="P26" s="2"/>
      <c r="R26" s="2"/>
    </row>
    <row r="27" spans="1:18" x14ac:dyDescent="0.35">
      <c r="A27" s="2">
        <v>45491</v>
      </c>
      <c r="B27" t="s">
        <v>42</v>
      </c>
      <c r="C27" s="5"/>
      <c r="D27" s="5" t="s">
        <v>123</v>
      </c>
      <c r="E27" s="5"/>
      <c r="F27" t="s">
        <v>56</v>
      </c>
      <c r="G27" t="s">
        <v>33</v>
      </c>
      <c r="H27" t="s">
        <v>124</v>
      </c>
      <c r="I27">
        <v>42000</v>
      </c>
      <c r="J27">
        <v>-6</v>
      </c>
      <c r="K27" t="s">
        <v>125</v>
      </c>
      <c r="L27" t="s">
        <v>35</v>
      </c>
      <c r="M27">
        <v>42000</v>
      </c>
      <c r="P27" s="2"/>
      <c r="R27" s="2"/>
    </row>
    <row r="28" spans="1:18" x14ac:dyDescent="0.35">
      <c r="A28" s="2">
        <v>45493</v>
      </c>
      <c r="B28" t="s">
        <v>42</v>
      </c>
      <c r="C28" s="5"/>
      <c r="D28" s="5" t="s">
        <v>101</v>
      </c>
      <c r="E28" s="5"/>
      <c r="F28" t="s">
        <v>32</v>
      </c>
      <c r="G28" t="s">
        <v>33</v>
      </c>
      <c r="H28" t="s">
        <v>126</v>
      </c>
      <c r="I28">
        <v>33500</v>
      </c>
      <c r="J28">
        <v>-4</v>
      </c>
      <c r="K28" t="s">
        <v>79</v>
      </c>
      <c r="L28" t="s">
        <v>80</v>
      </c>
      <c r="M28">
        <v>34500</v>
      </c>
      <c r="N28">
        <v>-6</v>
      </c>
      <c r="P28" s="2"/>
      <c r="R28" s="2"/>
    </row>
    <row r="29" spans="1:18" x14ac:dyDescent="0.35">
      <c r="A29" s="2">
        <v>45498</v>
      </c>
      <c r="B29" t="s">
        <v>42</v>
      </c>
      <c r="C29" s="5"/>
      <c r="D29" s="5" t="s">
        <v>127</v>
      </c>
      <c r="E29" s="5"/>
      <c r="F29" t="s">
        <v>32</v>
      </c>
      <c r="G29" t="s">
        <v>33</v>
      </c>
      <c r="H29" t="s">
        <v>128</v>
      </c>
      <c r="I29">
        <v>31600</v>
      </c>
      <c r="J29">
        <v>-6</v>
      </c>
      <c r="K29" t="s">
        <v>27</v>
      </c>
      <c r="L29" t="s">
        <v>35</v>
      </c>
      <c r="M29">
        <v>31600</v>
      </c>
      <c r="P29" s="2"/>
      <c r="R29" s="2"/>
    </row>
    <row r="30" spans="1:18" x14ac:dyDescent="0.35">
      <c r="A30" s="2">
        <v>45499</v>
      </c>
      <c r="B30" t="s">
        <v>42</v>
      </c>
      <c r="C30" s="5"/>
      <c r="D30" s="5" t="s">
        <v>104</v>
      </c>
      <c r="E30" s="5"/>
      <c r="F30" t="s">
        <v>32</v>
      </c>
      <c r="G30" t="s">
        <v>33</v>
      </c>
      <c r="H30" t="s">
        <v>110</v>
      </c>
      <c r="I30">
        <v>31625</v>
      </c>
      <c r="J30">
        <v>-6</v>
      </c>
      <c r="K30" t="s">
        <v>47</v>
      </c>
      <c r="L30" t="s">
        <v>35</v>
      </c>
      <c r="M30">
        <v>31625</v>
      </c>
      <c r="P30" s="2"/>
      <c r="R30" s="2"/>
    </row>
    <row r="31" spans="1:18" x14ac:dyDescent="0.35">
      <c r="A31" s="3">
        <v>45499</v>
      </c>
      <c r="B31" t="s">
        <v>42</v>
      </c>
      <c r="C31" s="5"/>
      <c r="D31" s="5" t="s">
        <v>129</v>
      </c>
      <c r="E31" s="5"/>
      <c r="F31" t="s">
        <v>32</v>
      </c>
      <c r="G31" t="s">
        <v>33</v>
      </c>
      <c r="H31" t="s">
        <v>108</v>
      </c>
      <c r="I31">
        <v>32000</v>
      </c>
      <c r="J31">
        <v>-6</v>
      </c>
      <c r="K31" t="s">
        <v>27</v>
      </c>
      <c r="L31" t="s">
        <v>35</v>
      </c>
      <c r="M31">
        <v>32000</v>
      </c>
      <c r="P31" s="2"/>
      <c r="R31" s="2"/>
    </row>
    <row r="32" spans="1:18" x14ac:dyDescent="0.35">
      <c r="A32" s="2">
        <v>45510</v>
      </c>
      <c r="B32" t="s">
        <v>42</v>
      </c>
      <c r="C32" s="5"/>
      <c r="D32" s="5" t="s">
        <v>130</v>
      </c>
      <c r="E32" s="5"/>
      <c r="F32" t="s">
        <v>32</v>
      </c>
      <c r="G32" t="s">
        <v>33</v>
      </c>
      <c r="H32" t="s">
        <v>131</v>
      </c>
      <c r="I32">
        <v>35500</v>
      </c>
      <c r="J32">
        <v>-6</v>
      </c>
      <c r="K32" t="s">
        <v>28</v>
      </c>
      <c r="L32" t="s">
        <v>35</v>
      </c>
      <c r="M32">
        <v>35500</v>
      </c>
      <c r="P32" s="2"/>
      <c r="R32" s="2"/>
    </row>
    <row r="33" spans="1:18" x14ac:dyDescent="0.35">
      <c r="A33" s="2">
        <v>45512</v>
      </c>
      <c r="B33" t="s">
        <v>42</v>
      </c>
      <c r="C33" s="5"/>
      <c r="D33" s="5" t="s">
        <v>114</v>
      </c>
      <c r="E33" s="5"/>
      <c r="F33" t="s">
        <v>56</v>
      </c>
      <c r="G33" t="s">
        <v>33</v>
      </c>
      <c r="H33" t="s">
        <v>112</v>
      </c>
      <c r="I33">
        <v>38500</v>
      </c>
      <c r="J33">
        <v>-6</v>
      </c>
      <c r="K33" t="s">
        <v>28</v>
      </c>
      <c r="L33" t="s">
        <v>53</v>
      </c>
      <c r="M33">
        <v>42000</v>
      </c>
      <c r="N33" t="s">
        <v>360</v>
      </c>
      <c r="P33" s="2"/>
      <c r="R33" s="2"/>
    </row>
    <row r="34" spans="1:18" x14ac:dyDescent="0.35">
      <c r="A34" s="2">
        <v>45513</v>
      </c>
      <c r="B34" t="s">
        <v>42</v>
      </c>
      <c r="C34" s="5"/>
      <c r="D34" s="5" t="s">
        <v>132</v>
      </c>
      <c r="E34" s="5"/>
      <c r="F34" t="s">
        <v>32</v>
      </c>
      <c r="G34" t="s">
        <v>33</v>
      </c>
      <c r="H34" t="s">
        <v>110</v>
      </c>
      <c r="I34">
        <v>31500</v>
      </c>
      <c r="J34">
        <v>-6</v>
      </c>
      <c r="K34" t="s">
        <v>47</v>
      </c>
      <c r="L34" t="s">
        <v>35</v>
      </c>
      <c r="M34">
        <v>31500</v>
      </c>
      <c r="P34" s="2"/>
      <c r="R34" s="2"/>
    </row>
    <row r="35" spans="1:18" x14ac:dyDescent="0.35">
      <c r="A35" s="2">
        <v>45525</v>
      </c>
      <c r="B35" t="s">
        <v>42</v>
      </c>
      <c r="C35" s="5"/>
      <c r="D35" s="5" t="s">
        <v>133</v>
      </c>
      <c r="E35" s="5"/>
      <c r="F35" t="s">
        <v>56</v>
      </c>
      <c r="G35" t="s">
        <v>33</v>
      </c>
      <c r="H35" t="s">
        <v>112</v>
      </c>
      <c r="I35">
        <v>44500</v>
      </c>
      <c r="J35">
        <v>-6</v>
      </c>
      <c r="K35" t="s">
        <v>28</v>
      </c>
      <c r="L35" t="s">
        <v>53</v>
      </c>
      <c r="M35">
        <v>44500</v>
      </c>
      <c r="N35" t="s">
        <v>360</v>
      </c>
      <c r="P35" s="2"/>
      <c r="R35" s="2"/>
    </row>
    <row r="36" spans="1:18" x14ac:dyDescent="0.35">
      <c r="A36" s="2">
        <v>45532</v>
      </c>
      <c r="B36" t="s">
        <v>42</v>
      </c>
      <c r="C36" s="5"/>
      <c r="D36" s="5" t="s">
        <v>104</v>
      </c>
      <c r="E36" s="5"/>
      <c r="F36" t="s">
        <v>32</v>
      </c>
      <c r="G36" t="s">
        <v>33</v>
      </c>
      <c r="H36" t="s">
        <v>61</v>
      </c>
      <c r="I36">
        <v>31600</v>
      </c>
      <c r="J36">
        <v>-6</v>
      </c>
      <c r="K36" t="s">
        <v>62</v>
      </c>
      <c r="L36" t="s">
        <v>35</v>
      </c>
      <c r="M36">
        <v>31600</v>
      </c>
      <c r="P36" s="2"/>
      <c r="R36" s="2"/>
    </row>
    <row r="37" spans="1:18" x14ac:dyDescent="0.35">
      <c r="A37" s="2">
        <v>45549</v>
      </c>
      <c r="B37" t="s">
        <v>42</v>
      </c>
      <c r="C37" s="5"/>
      <c r="D37" s="5" t="s">
        <v>104</v>
      </c>
      <c r="E37" s="5"/>
      <c r="F37" t="s">
        <v>72</v>
      </c>
      <c r="G37" t="s">
        <v>50</v>
      </c>
      <c r="H37" t="s">
        <v>107</v>
      </c>
      <c r="I37">
        <v>17001</v>
      </c>
      <c r="J37">
        <v>-8</v>
      </c>
      <c r="K37" t="s">
        <v>52</v>
      </c>
      <c r="L37" t="s">
        <v>53</v>
      </c>
      <c r="M37">
        <v>17100</v>
      </c>
      <c r="N37" t="s">
        <v>363</v>
      </c>
      <c r="P37" s="2"/>
      <c r="R37" s="2"/>
    </row>
    <row r="38" spans="1:18" x14ac:dyDescent="0.35">
      <c r="A38" s="2">
        <v>45553</v>
      </c>
      <c r="B38" t="s">
        <v>42</v>
      </c>
      <c r="C38" s="5"/>
      <c r="D38" s="5" t="s">
        <v>104</v>
      </c>
      <c r="E38" s="5"/>
      <c r="F38" t="s">
        <v>32</v>
      </c>
      <c r="G38" t="s">
        <v>33</v>
      </c>
      <c r="H38" t="s">
        <v>137</v>
      </c>
      <c r="I38">
        <v>32000</v>
      </c>
      <c r="J38">
        <v>-6</v>
      </c>
      <c r="K38" t="s">
        <v>79</v>
      </c>
      <c r="L38" t="s">
        <v>35</v>
      </c>
      <c r="M38">
        <v>32000</v>
      </c>
      <c r="P38" s="2"/>
      <c r="R38" s="2"/>
    </row>
    <row r="39" spans="1:18" x14ac:dyDescent="0.35">
      <c r="A39" s="2">
        <v>45553</v>
      </c>
      <c r="B39" t="s">
        <v>42</v>
      </c>
      <c r="C39" s="5"/>
      <c r="D39" s="5" t="s">
        <v>104</v>
      </c>
      <c r="E39" s="5"/>
      <c r="F39" t="s">
        <v>32</v>
      </c>
      <c r="G39" t="s">
        <v>33</v>
      </c>
      <c r="H39" t="s">
        <v>138</v>
      </c>
      <c r="I39">
        <v>31500</v>
      </c>
      <c r="J39">
        <v>-6</v>
      </c>
      <c r="K39" t="s">
        <v>47</v>
      </c>
      <c r="L39" t="s">
        <v>35</v>
      </c>
      <c r="M39">
        <v>31500</v>
      </c>
      <c r="P39" s="2"/>
      <c r="R39" s="2"/>
    </row>
    <row r="40" spans="1:18" x14ac:dyDescent="0.35">
      <c r="A40" s="2">
        <v>45561</v>
      </c>
      <c r="B40" t="s">
        <v>42</v>
      </c>
      <c r="C40" s="5"/>
      <c r="D40" s="5" t="s">
        <v>104</v>
      </c>
      <c r="E40" s="5"/>
      <c r="F40" t="s">
        <v>72</v>
      </c>
      <c r="G40" t="s">
        <v>60</v>
      </c>
      <c r="H40" t="s">
        <v>139</v>
      </c>
      <c r="I40">
        <v>14150</v>
      </c>
      <c r="J40">
        <v>-8</v>
      </c>
      <c r="L40" t="s">
        <v>53</v>
      </c>
      <c r="M40">
        <v>14300</v>
      </c>
      <c r="N40" t="s">
        <v>362</v>
      </c>
      <c r="P40" s="2"/>
      <c r="R40" s="2"/>
    </row>
    <row r="41" spans="1:18" x14ac:dyDescent="0.35">
      <c r="A41" s="2">
        <v>45562</v>
      </c>
      <c r="B41" t="s">
        <v>42</v>
      </c>
      <c r="C41" s="5"/>
      <c r="D41" s="5" t="s">
        <v>132</v>
      </c>
      <c r="E41" s="5"/>
      <c r="F41" t="s">
        <v>32</v>
      </c>
      <c r="G41" t="s">
        <v>50</v>
      </c>
      <c r="H41" t="s">
        <v>140</v>
      </c>
      <c r="I41">
        <v>26300</v>
      </c>
      <c r="J41">
        <v>-6</v>
      </c>
      <c r="K41" t="s">
        <v>27</v>
      </c>
      <c r="L41" t="s">
        <v>35</v>
      </c>
      <c r="M41">
        <v>26300</v>
      </c>
      <c r="P41" s="2"/>
      <c r="R41" s="2"/>
    </row>
    <row r="42" spans="1:18" x14ac:dyDescent="0.35">
      <c r="A42" s="2">
        <v>45572</v>
      </c>
      <c r="B42" t="s">
        <v>42</v>
      </c>
      <c r="C42" s="5"/>
      <c r="D42" s="5" t="s">
        <v>141</v>
      </c>
      <c r="E42" s="5"/>
      <c r="F42" t="s">
        <v>142</v>
      </c>
      <c r="G42" t="s">
        <v>50</v>
      </c>
      <c r="H42" t="s">
        <v>115</v>
      </c>
      <c r="I42">
        <v>16900</v>
      </c>
      <c r="J42">
        <v>-6</v>
      </c>
      <c r="K42" t="s">
        <v>27</v>
      </c>
      <c r="L42" t="s">
        <v>35</v>
      </c>
      <c r="M42">
        <v>16900</v>
      </c>
      <c r="P42" s="2"/>
      <c r="R42" s="2"/>
    </row>
    <row r="43" spans="1:18" x14ac:dyDescent="0.35">
      <c r="A43" s="2">
        <v>45577</v>
      </c>
      <c r="B43" t="s">
        <v>42</v>
      </c>
      <c r="C43" s="5"/>
      <c r="D43" s="5" t="s">
        <v>130</v>
      </c>
      <c r="E43" s="5"/>
      <c r="F43" t="s">
        <v>32</v>
      </c>
      <c r="G43" t="s">
        <v>50</v>
      </c>
      <c r="H43" t="s">
        <v>108</v>
      </c>
      <c r="I43">
        <v>27500</v>
      </c>
      <c r="J43">
        <v>-6</v>
      </c>
      <c r="K43" t="s">
        <v>79</v>
      </c>
      <c r="L43" t="s">
        <v>35</v>
      </c>
      <c r="M43">
        <v>27500</v>
      </c>
      <c r="P43" s="2"/>
      <c r="R43" s="2"/>
    </row>
    <row r="44" spans="1:18" x14ac:dyDescent="0.35">
      <c r="A44" s="2">
        <v>45604</v>
      </c>
      <c r="B44" t="s">
        <v>42</v>
      </c>
      <c r="C44" s="5"/>
      <c r="D44" s="5" t="s">
        <v>104</v>
      </c>
      <c r="E44" s="5"/>
      <c r="F44" t="s">
        <v>72</v>
      </c>
      <c r="G44" t="s">
        <v>60</v>
      </c>
      <c r="H44" t="s">
        <v>107</v>
      </c>
      <c r="I44">
        <v>14400</v>
      </c>
      <c r="J44">
        <v>-8</v>
      </c>
      <c r="K44" t="s">
        <v>52</v>
      </c>
      <c r="L44" t="s">
        <v>53</v>
      </c>
      <c r="M44">
        <v>14400</v>
      </c>
      <c r="N44" t="s">
        <v>363</v>
      </c>
      <c r="P44" s="2"/>
      <c r="R44" s="2"/>
    </row>
    <row r="45" spans="1:18" x14ac:dyDescent="0.35">
      <c r="A45" s="2">
        <v>45610</v>
      </c>
      <c r="B45" t="s">
        <v>42</v>
      </c>
      <c r="C45" s="5"/>
      <c r="D45" s="5" t="s">
        <v>101</v>
      </c>
      <c r="E45" s="5"/>
      <c r="F45" t="s">
        <v>32</v>
      </c>
      <c r="G45" t="s">
        <v>44</v>
      </c>
      <c r="H45" t="s">
        <v>137</v>
      </c>
      <c r="I45">
        <v>39000</v>
      </c>
      <c r="J45">
        <v>-6</v>
      </c>
      <c r="K45" t="s">
        <v>79</v>
      </c>
      <c r="L45" t="s">
        <v>143</v>
      </c>
      <c r="M45">
        <v>39500</v>
      </c>
      <c r="N45" t="s">
        <v>364</v>
      </c>
      <c r="P45" s="2"/>
      <c r="R45" s="2"/>
    </row>
    <row r="46" spans="1:18" x14ac:dyDescent="0.35">
      <c r="A46" s="2">
        <v>45610</v>
      </c>
      <c r="B46" t="s">
        <v>42</v>
      </c>
      <c r="C46" s="5"/>
      <c r="D46" s="5" t="s">
        <v>144</v>
      </c>
      <c r="E46" s="5"/>
      <c r="F46" t="s">
        <v>32</v>
      </c>
      <c r="G46" t="s">
        <v>44</v>
      </c>
      <c r="H46" t="s">
        <v>78</v>
      </c>
      <c r="I46">
        <v>39500</v>
      </c>
      <c r="J46">
        <v>-6</v>
      </c>
      <c r="K46" t="s">
        <v>79</v>
      </c>
      <c r="L46" t="s">
        <v>143</v>
      </c>
      <c r="M46">
        <v>39000</v>
      </c>
      <c r="N46" t="s">
        <v>364</v>
      </c>
      <c r="P46" s="2"/>
      <c r="R46" s="2"/>
    </row>
    <row r="47" spans="1:18" x14ac:dyDescent="0.35">
      <c r="A47" s="2">
        <v>45624</v>
      </c>
      <c r="B47" t="s">
        <v>42</v>
      </c>
      <c r="C47" s="5"/>
      <c r="D47" s="5"/>
      <c r="E47" s="5" t="s">
        <v>149</v>
      </c>
      <c r="F47" t="s">
        <v>56</v>
      </c>
      <c r="G47" t="s">
        <v>33</v>
      </c>
      <c r="H47" t="s">
        <v>150</v>
      </c>
      <c r="I47">
        <v>53000</v>
      </c>
      <c r="J47">
        <v>-4</v>
      </c>
      <c r="K47" t="s">
        <v>52</v>
      </c>
      <c r="L47" t="s">
        <v>53</v>
      </c>
      <c r="M47">
        <v>61000</v>
      </c>
      <c r="N47" t="s">
        <v>365</v>
      </c>
      <c r="P47" s="2"/>
      <c r="R47" s="2"/>
    </row>
    <row r="48" spans="1:18" x14ac:dyDescent="0.35">
      <c r="A48" s="2">
        <v>45624</v>
      </c>
      <c r="B48" t="s">
        <v>42</v>
      </c>
      <c r="C48" s="5"/>
      <c r="D48" s="5" t="s">
        <v>151</v>
      </c>
      <c r="E48" s="5"/>
      <c r="F48" t="s">
        <v>32</v>
      </c>
      <c r="G48" t="s">
        <v>33</v>
      </c>
      <c r="H48" t="s">
        <v>61</v>
      </c>
      <c r="I48">
        <v>31000</v>
      </c>
      <c r="J48">
        <v>-6</v>
      </c>
      <c r="K48" t="s">
        <v>62</v>
      </c>
      <c r="L48" t="s">
        <v>35</v>
      </c>
      <c r="M48">
        <v>31000</v>
      </c>
      <c r="P48" s="2"/>
      <c r="R48" s="2"/>
    </row>
    <row r="49" spans="1:18" x14ac:dyDescent="0.35">
      <c r="A49" s="2">
        <v>45628</v>
      </c>
      <c r="B49" t="s">
        <v>42</v>
      </c>
      <c r="C49" s="5"/>
      <c r="D49" s="5" t="s">
        <v>113</v>
      </c>
      <c r="E49" s="5"/>
      <c r="F49" t="s">
        <v>56</v>
      </c>
      <c r="G49" t="s">
        <v>33</v>
      </c>
      <c r="H49" t="s">
        <v>112</v>
      </c>
      <c r="I49">
        <v>45000</v>
      </c>
      <c r="J49">
        <v>-6</v>
      </c>
      <c r="K49" t="s">
        <v>28</v>
      </c>
      <c r="L49" t="s">
        <v>53</v>
      </c>
      <c r="M49">
        <v>44500</v>
      </c>
      <c r="N49" t="s">
        <v>360</v>
      </c>
      <c r="P49" s="2"/>
      <c r="R49" s="2"/>
    </row>
    <row r="50" spans="1:18" x14ac:dyDescent="0.35">
      <c r="A50" s="2">
        <v>45631</v>
      </c>
      <c r="B50" t="s">
        <v>42</v>
      </c>
      <c r="C50" s="5"/>
      <c r="D50" s="5" t="s">
        <v>127</v>
      </c>
      <c r="E50" s="5"/>
      <c r="F50" t="s">
        <v>56</v>
      </c>
      <c r="G50" t="s">
        <v>33</v>
      </c>
      <c r="H50" t="s">
        <v>154</v>
      </c>
      <c r="I50">
        <v>34500</v>
      </c>
      <c r="J50">
        <v>-6</v>
      </c>
      <c r="K50" t="s">
        <v>155</v>
      </c>
      <c r="L50" t="s">
        <v>35</v>
      </c>
      <c r="M50">
        <v>34500</v>
      </c>
    </row>
    <row r="51" spans="1:18" x14ac:dyDescent="0.35">
      <c r="A51" s="2">
        <v>45633</v>
      </c>
      <c r="B51" t="s">
        <v>42</v>
      </c>
      <c r="C51" s="5"/>
      <c r="D51" s="5" t="s">
        <v>104</v>
      </c>
      <c r="E51" s="5"/>
      <c r="F51" t="s">
        <v>32</v>
      </c>
      <c r="G51" t="s">
        <v>33</v>
      </c>
      <c r="H51" t="s">
        <v>156</v>
      </c>
      <c r="I51">
        <v>32700</v>
      </c>
      <c r="J51">
        <v>-6</v>
      </c>
      <c r="K51" t="s">
        <v>27</v>
      </c>
      <c r="L51" t="s">
        <v>35</v>
      </c>
      <c r="M51">
        <v>32700</v>
      </c>
    </row>
    <row r="52" spans="1:18" x14ac:dyDescent="0.35">
      <c r="A52" s="2">
        <v>45636</v>
      </c>
      <c r="B52" t="s">
        <v>42</v>
      </c>
      <c r="C52" s="5"/>
      <c r="D52" s="5" t="s">
        <v>157</v>
      </c>
      <c r="E52" s="5"/>
      <c r="F52" t="s">
        <v>56</v>
      </c>
      <c r="G52" t="s">
        <v>33</v>
      </c>
      <c r="H52" t="s">
        <v>158</v>
      </c>
      <c r="I52">
        <v>39000</v>
      </c>
      <c r="J52">
        <v>-6</v>
      </c>
      <c r="L52" t="s">
        <v>35</v>
      </c>
      <c r="M52">
        <v>39000</v>
      </c>
    </row>
    <row r="53" spans="1:18" x14ac:dyDescent="0.35">
      <c r="A53" s="2">
        <v>45636</v>
      </c>
      <c r="B53" t="s">
        <v>42</v>
      </c>
      <c r="C53" s="5"/>
      <c r="D53" s="5" t="s">
        <v>159</v>
      </c>
      <c r="E53" s="5"/>
      <c r="F53" t="s">
        <v>56</v>
      </c>
      <c r="G53" t="s">
        <v>33</v>
      </c>
      <c r="H53" t="s">
        <v>112</v>
      </c>
      <c r="I53">
        <v>44000</v>
      </c>
      <c r="J53">
        <v>-6</v>
      </c>
      <c r="K53" t="s">
        <v>28</v>
      </c>
      <c r="L53" t="s">
        <v>53</v>
      </c>
      <c r="M53">
        <v>44000</v>
      </c>
      <c r="N53" t="s">
        <v>360</v>
      </c>
    </row>
    <row r="54" spans="1:18" x14ac:dyDescent="0.35">
      <c r="A54" s="2">
        <v>45642</v>
      </c>
      <c r="B54" t="s">
        <v>42</v>
      </c>
      <c r="C54" s="5"/>
      <c r="D54" s="5" t="s">
        <v>101</v>
      </c>
      <c r="E54" s="5"/>
      <c r="F54" t="s">
        <v>56</v>
      </c>
      <c r="G54" t="s">
        <v>33</v>
      </c>
      <c r="H54" t="s">
        <v>160</v>
      </c>
      <c r="I54">
        <v>33250</v>
      </c>
      <c r="J54">
        <v>-6</v>
      </c>
      <c r="K54" t="s">
        <v>62</v>
      </c>
      <c r="L54" t="s">
        <v>53</v>
      </c>
      <c r="M54">
        <v>33900</v>
      </c>
      <c r="N54" t="s">
        <v>360</v>
      </c>
    </row>
    <row r="55" spans="1:18" x14ac:dyDescent="0.35">
      <c r="A55" s="2">
        <v>45667</v>
      </c>
      <c r="B55" t="s">
        <v>42</v>
      </c>
      <c r="C55" s="5"/>
      <c r="D55" s="5" t="s">
        <v>101</v>
      </c>
      <c r="E55" s="5"/>
      <c r="F55" t="s">
        <v>170</v>
      </c>
      <c r="G55" t="s">
        <v>171</v>
      </c>
      <c r="H55" t="s">
        <v>108</v>
      </c>
      <c r="I55">
        <v>16475</v>
      </c>
      <c r="J55">
        <v>-6</v>
      </c>
      <c r="K55" t="s">
        <v>27</v>
      </c>
      <c r="L55" t="s">
        <v>172</v>
      </c>
      <c r="M55">
        <v>16650</v>
      </c>
      <c r="N55">
        <v>-6</v>
      </c>
    </row>
    <row r="56" spans="1:18" x14ac:dyDescent="0.35">
      <c r="A56" s="2">
        <v>45679</v>
      </c>
      <c r="B56" t="s">
        <v>42</v>
      </c>
      <c r="C56" s="5"/>
      <c r="D56" s="5"/>
      <c r="E56" s="5" t="s">
        <v>184</v>
      </c>
      <c r="F56" t="s">
        <v>56</v>
      </c>
      <c r="G56" t="s">
        <v>33</v>
      </c>
      <c r="H56" t="s">
        <v>112</v>
      </c>
      <c r="I56">
        <v>67000</v>
      </c>
      <c r="J56">
        <v>-6</v>
      </c>
      <c r="K56" t="s">
        <v>28</v>
      </c>
      <c r="L56" t="s">
        <v>53</v>
      </c>
      <c r="M56">
        <v>72000</v>
      </c>
      <c r="N56" t="s">
        <v>360</v>
      </c>
    </row>
    <row r="57" spans="1:18" x14ac:dyDescent="0.35">
      <c r="A57" s="2">
        <v>45682</v>
      </c>
      <c r="B57" t="s">
        <v>42</v>
      </c>
      <c r="C57" s="5"/>
      <c r="D57" s="5"/>
      <c r="E57" s="5" t="s">
        <v>174</v>
      </c>
      <c r="F57" t="s">
        <v>56</v>
      </c>
      <c r="G57" t="s">
        <v>33</v>
      </c>
      <c r="H57" t="s">
        <v>112</v>
      </c>
      <c r="I57">
        <v>54000</v>
      </c>
      <c r="J57">
        <v>-6</v>
      </c>
      <c r="K57" t="s">
        <v>28</v>
      </c>
      <c r="L57" t="s">
        <v>53</v>
      </c>
      <c r="M57">
        <v>56000</v>
      </c>
      <c r="N57" t="s">
        <v>360</v>
      </c>
    </row>
    <row r="58" spans="1:18" x14ac:dyDescent="0.35">
      <c r="A58" s="2">
        <v>45709</v>
      </c>
      <c r="B58" t="s">
        <v>42</v>
      </c>
      <c r="C58" s="5" t="s">
        <v>208</v>
      </c>
      <c r="D58" s="5" t="s">
        <v>157</v>
      </c>
      <c r="E58" s="5"/>
      <c r="F58" t="s">
        <v>209</v>
      </c>
      <c r="G58" t="s">
        <v>33</v>
      </c>
      <c r="H58" t="s">
        <v>210</v>
      </c>
      <c r="I58">
        <v>49000</v>
      </c>
      <c r="J58">
        <v>-6</v>
      </c>
      <c r="K58" t="s">
        <v>95</v>
      </c>
      <c r="L58" t="s">
        <v>35</v>
      </c>
      <c r="M58">
        <v>49000</v>
      </c>
    </row>
    <row r="59" spans="1:18" x14ac:dyDescent="0.35">
      <c r="A59" s="2">
        <v>45709</v>
      </c>
      <c r="B59" t="s">
        <v>42</v>
      </c>
      <c r="C59" s="5" t="s">
        <v>211</v>
      </c>
      <c r="D59" s="5" t="s">
        <v>132</v>
      </c>
      <c r="E59" s="5"/>
      <c r="F59" t="s">
        <v>206</v>
      </c>
      <c r="G59" t="s">
        <v>44</v>
      </c>
      <c r="H59" t="s">
        <v>137</v>
      </c>
      <c r="I59">
        <v>36000</v>
      </c>
      <c r="J59">
        <v>-6</v>
      </c>
      <c r="K59" t="s">
        <v>79</v>
      </c>
      <c r="L59" t="s">
        <v>212</v>
      </c>
      <c r="M59">
        <v>35925</v>
      </c>
      <c r="N59">
        <v>-4</v>
      </c>
    </row>
    <row r="60" spans="1:18" x14ac:dyDescent="0.35">
      <c r="A60" s="2">
        <v>45720</v>
      </c>
      <c r="B60" t="s">
        <v>42</v>
      </c>
      <c r="C60" s="5"/>
      <c r="D60" s="5" t="s">
        <v>104</v>
      </c>
      <c r="E60" s="5"/>
      <c r="F60" t="s">
        <v>206</v>
      </c>
      <c r="G60" t="s">
        <v>33</v>
      </c>
      <c r="H60" t="s">
        <v>61</v>
      </c>
      <c r="I60">
        <v>32000</v>
      </c>
      <c r="J60">
        <v>-6</v>
      </c>
      <c r="K60" t="s">
        <v>62</v>
      </c>
      <c r="L60" t="s">
        <v>35</v>
      </c>
      <c r="M60">
        <v>32000</v>
      </c>
    </row>
    <row r="61" spans="1:18" x14ac:dyDescent="0.35">
      <c r="A61" s="2">
        <v>45726</v>
      </c>
      <c r="B61" t="s">
        <v>42</v>
      </c>
      <c r="C61" s="5"/>
      <c r="D61" s="5" t="s">
        <v>218</v>
      </c>
      <c r="E61" s="5"/>
      <c r="F61" t="s">
        <v>206</v>
      </c>
      <c r="G61" t="s">
        <v>33</v>
      </c>
      <c r="H61" t="s">
        <v>219</v>
      </c>
      <c r="I61">
        <v>31500</v>
      </c>
      <c r="J61">
        <v>-6</v>
      </c>
      <c r="L61" t="s">
        <v>35</v>
      </c>
      <c r="M61">
        <v>31500</v>
      </c>
    </row>
    <row r="62" spans="1:18" x14ac:dyDescent="0.35">
      <c r="A62" s="2">
        <v>45741</v>
      </c>
      <c r="B62" t="s">
        <v>42</v>
      </c>
      <c r="C62" s="5"/>
      <c r="D62" s="5" t="s">
        <v>229</v>
      </c>
      <c r="E62" s="5"/>
      <c r="F62" t="s">
        <v>230</v>
      </c>
      <c r="G62" t="s">
        <v>50</v>
      </c>
      <c r="H62" t="s">
        <v>107</v>
      </c>
      <c r="I62">
        <v>7500</v>
      </c>
      <c r="J62">
        <v>-8</v>
      </c>
      <c r="K62" t="s">
        <v>52</v>
      </c>
      <c r="L62" t="s">
        <v>35</v>
      </c>
      <c r="M62">
        <v>7500</v>
      </c>
      <c r="N62">
        <v>-8</v>
      </c>
    </row>
    <row r="63" spans="1:18" x14ac:dyDescent="0.35">
      <c r="A63" s="2">
        <v>45741</v>
      </c>
      <c r="B63" t="s">
        <v>42</v>
      </c>
      <c r="C63" s="5"/>
      <c r="D63" s="5" t="s">
        <v>231</v>
      </c>
      <c r="E63" s="5"/>
      <c r="F63" t="s">
        <v>56</v>
      </c>
      <c r="G63" t="s">
        <v>33</v>
      </c>
      <c r="H63" t="s">
        <v>112</v>
      </c>
      <c r="I63">
        <v>46250</v>
      </c>
      <c r="J63">
        <v>-6</v>
      </c>
      <c r="K63" t="s">
        <v>28</v>
      </c>
      <c r="L63" t="s">
        <v>53</v>
      </c>
      <c r="M63">
        <v>47250</v>
      </c>
      <c r="N63">
        <v>-6</v>
      </c>
    </row>
    <row r="64" spans="1:18" x14ac:dyDescent="0.35">
      <c r="A64" s="2">
        <v>45742</v>
      </c>
      <c r="B64" t="s">
        <v>42</v>
      </c>
      <c r="C64" s="5"/>
      <c r="D64" s="5" t="s">
        <v>233</v>
      </c>
      <c r="E64" s="5"/>
      <c r="F64" t="s">
        <v>234</v>
      </c>
      <c r="G64" t="s">
        <v>44</v>
      </c>
      <c r="H64" t="s">
        <v>235</v>
      </c>
      <c r="I64">
        <v>50500</v>
      </c>
      <c r="J64">
        <v>-5</v>
      </c>
      <c r="K64" t="s">
        <v>95</v>
      </c>
      <c r="L64" t="s">
        <v>35</v>
      </c>
      <c r="M64">
        <v>50500</v>
      </c>
      <c r="N64">
        <v>-5</v>
      </c>
    </row>
    <row r="65" spans="1:14" x14ac:dyDescent="0.35">
      <c r="A65" s="2">
        <v>45749</v>
      </c>
      <c r="B65" t="s">
        <v>42</v>
      </c>
      <c r="C65" s="5"/>
      <c r="D65" s="5" t="s">
        <v>157</v>
      </c>
      <c r="E65" s="5"/>
      <c r="F65" t="s">
        <v>56</v>
      </c>
      <c r="G65" t="s">
        <v>33</v>
      </c>
      <c r="H65" t="s">
        <v>236</v>
      </c>
      <c r="I65">
        <v>45700</v>
      </c>
      <c r="J65">
        <v>-6</v>
      </c>
      <c r="L65" t="s">
        <v>80</v>
      </c>
      <c r="M65">
        <v>45700</v>
      </c>
      <c r="N65">
        <v>-4</v>
      </c>
    </row>
    <row r="66" spans="1:14" x14ac:dyDescent="0.35">
      <c r="A66" s="2">
        <v>45758</v>
      </c>
      <c r="B66" t="s">
        <v>42</v>
      </c>
      <c r="C66" s="5"/>
      <c r="D66" s="5" t="s">
        <v>186</v>
      </c>
      <c r="E66" s="5"/>
      <c r="F66" t="s">
        <v>56</v>
      </c>
      <c r="G66" t="s">
        <v>33</v>
      </c>
      <c r="H66" t="s">
        <v>112</v>
      </c>
      <c r="I66">
        <v>45000</v>
      </c>
      <c r="J66">
        <v>-6</v>
      </c>
      <c r="K66" t="s">
        <v>28</v>
      </c>
      <c r="L66" t="s">
        <v>53</v>
      </c>
      <c r="M66">
        <v>46000</v>
      </c>
      <c r="N66">
        <v>120</v>
      </c>
    </row>
    <row r="67" spans="1:14" x14ac:dyDescent="0.35">
      <c r="A67" s="2">
        <v>45758</v>
      </c>
      <c r="B67" t="s">
        <v>42</v>
      </c>
      <c r="C67" s="5"/>
      <c r="D67" s="5"/>
      <c r="E67" s="5" t="s">
        <v>149</v>
      </c>
      <c r="F67" t="s">
        <v>56</v>
      </c>
      <c r="G67" t="s">
        <v>50</v>
      </c>
      <c r="H67" t="s">
        <v>150</v>
      </c>
      <c r="I67">
        <v>41000</v>
      </c>
      <c r="J67">
        <v>-6</v>
      </c>
      <c r="K67" t="s">
        <v>52</v>
      </c>
      <c r="L67" t="s">
        <v>53</v>
      </c>
      <c r="M67">
        <v>43000</v>
      </c>
      <c r="N67">
        <v>120</v>
      </c>
    </row>
    <row r="68" spans="1:14" x14ac:dyDescent="0.35">
      <c r="A68" s="2">
        <v>45758</v>
      </c>
      <c r="B68" t="s">
        <v>42</v>
      </c>
      <c r="C68" s="5"/>
      <c r="D68" s="5"/>
      <c r="E68" s="5" t="s">
        <v>184</v>
      </c>
      <c r="F68" t="s">
        <v>56</v>
      </c>
      <c r="G68" t="s">
        <v>50</v>
      </c>
      <c r="H68" t="s">
        <v>150</v>
      </c>
      <c r="I68">
        <v>43000</v>
      </c>
      <c r="J68">
        <v>-6</v>
      </c>
      <c r="K68" t="s">
        <v>52</v>
      </c>
      <c r="L68" t="s">
        <v>53</v>
      </c>
      <c r="M68">
        <v>45000</v>
      </c>
      <c r="N68">
        <v>120</v>
      </c>
    </row>
    <row r="69" spans="1:14" x14ac:dyDescent="0.35">
      <c r="A69" s="2">
        <v>45758</v>
      </c>
      <c r="B69" t="s">
        <v>42</v>
      </c>
      <c r="C69" s="5"/>
      <c r="D69" s="5"/>
      <c r="E69" s="5" t="s">
        <v>237</v>
      </c>
      <c r="F69" t="s">
        <v>56</v>
      </c>
      <c r="G69" t="s">
        <v>50</v>
      </c>
      <c r="H69" t="s">
        <v>150</v>
      </c>
      <c r="I69">
        <v>51000</v>
      </c>
      <c r="J69">
        <v>-6</v>
      </c>
      <c r="K69" t="s">
        <v>52</v>
      </c>
      <c r="L69" t="s">
        <v>53</v>
      </c>
      <c r="M69">
        <v>53000</v>
      </c>
      <c r="N69">
        <v>120</v>
      </c>
    </row>
    <row r="70" spans="1:14" x14ac:dyDescent="0.35">
      <c r="A70" s="2">
        <v>45758</v>
      </c>
      <c r="B70" t="s">
        <v>42</v>
      </c>
      <c r="C70" s="5" t="s">
        <v>238</v>
      </c>
      <c r="D70" s="5" t="s">
        <v>186</v>
      </c>
      <c r="E70" s="5"/>
      <c r="F70" t="s">
        <v>56</v>
      </c>
      <c r="G70" t="s">
        <v>50</v>
      </c>
      <c r="H70" t="s">
        <v>150</v>
      </c>
      <c r="I70">
        <v>33500</v>
      </c>
      <c r="J70">
        <v>-6</v>
      </c>
      <c r="K70" t="s">
        <v>52</v>
      </c>
      <c r="L70" t="s">
        <v>53</v>
      </c>
      <c r="M70">
        <v>38000</v>
      </c>
      <c r="N70">
        <v>120</v>
      </c>
    </row>
    <row r="71" spans="1:14" x14ac:dyDescent="0.35">
      <c r="A71" s="2">
        <v>45806</v>
      </c>
      <c r="B71" t="s">
        <v>42</v>
      </c>
      <c r="C71" s="5"/>
      <c r="D71" s="5" t="s">
        <v>231</v>
      </c>
      <c r="E71" s="5"/>
      <c r="F71" t="s">
        <v>240</v>
      </c>
      <c r="G71" t="s">
        <v>44</v>
      </c>
      <c r="H71" t="s">
        <v>252</v>
      </c>
      <c r="I71">
        <v>66000</v>
      </c>
      <c r="J71">
        <v>-6</v>
      </c>
      <c r="K71" t="s">
        <v>28</v>
      </c>
      <c r="L71" t="s">
        <v>80</v>
      </c>
      <c r="M71">
        <v>66000</v>
      </c>
      <c r="N71">
        <v>-6</v>
      </c>
    </row>
    <row r="72" spans="1:14" x14ac:dyDescent="0.35">
      <c r="A72" s="2">
        <v>45807</v>
      </c>
      <c r="B72" t="s">
        <v>42</v>
      </c>
      <c r="C72" s="5"/>
      <c r="D72" s="5" t="s">
        <v>104</v>
      </c>
      <c r="E72" s="5"/>
      <c r="F72" t="s">
        <v>240</v>
      </c>
      <c r="G72" t="s">
        <v>44</v>
      </c>
      <c r="H72" t="s">
        <v>137</v>
      </c>
      <c r="I72">
        <v>42000</v>
      </c>
      <c r="J72">
        <v>-6</v>
      </c>
      <c r="K72" t="s">
        <v>79</v>
      </c>
      <c r="L72" t="s">
        <v>80</v>
      </c>
      <c r="M72">
        <v>43000</v>
      </c>
      <c r="N72">
        <v>-6</v>
      </c>
    </row>
    <row r="73" spans="1:14" x14ac:dyDescent="0.35">
      <c r="A73" s="2">
        <v>45807</v>
      </c>
      <c r="B73" t="s">
        <v>42</v>
      </c>
      <c r="C73" s="5"/>
      <c r="D73" s="5" t="s">
        <v>253</v>
      </c>
      <c r="E73" s="5"/>
      <c r="F73" t="s">
        <v>240</v>
      </c>
      <c r="G73" t="s">
        <v>44</v>
      </c>
      <c r="H73" t="s">
        <v>137</v>
      </c>
      <c r="I73">
        <v>39000</v>
      </c>
      <c r="J73">
        <v>-6</v>
      </c>
      <c r="K73" t="s">
        <v>79</v>
      </c>
      <c r="L73" t="s">
        <v>80</v>
      </c>
      <c r="M73">
        <v>41000</v>
      </c>
      <c r="N73">
        <v>-6</v>
      </c>
    </row>
    <row r="74" spans="1:14" x14ac:dyDescent="0.35">
      <c r="A74" s="2">
        <v>45822</v>
      </c>
      <c r="B74" t="s">
        <v>42</v>
      </c>
      <c r="C74" s="5"/>
      <c r="D74" s="5" t="s">
        <v>104</v>
      </c>
      <c r="E74" s="5"/>
      <c r="F74" t="s">
        <v>206</v>
      </c>
      <c r="G74" t="s">
        <v>50</v>
      </c>
      <c r="H74" t="s">
        <v>256</v>
      </c>
      <c r="I74">
        <v>28000</v>
      </c>
      <c r="J74">
        <v>-6</v>
      </c>
      <c r="K74" t="s">
        <v>27</v>
      </c>
      <c r="L74" t="s">
        <v>35</v>
      </c>
      <c r="M74">
        <v>28000</v>
      </c>
      <c r="N74">
        <v>-6</v>
      </c>
    </row>
    <row r="75" spans="1:14" x14ac:dyDescent="0.35">
      <c r="A75" s="2">
        <v>45839</v>
      </c>
      <c r="B75" t="s">
        <v>42</v>
      </c>
      <c r="C75" s="5"/>
      <c r="D75" s="5" t="s">
        <v>104</v>
      </c>
      <c r="E75" s="5"/>
      <c r="F75" t="s">
        <v>72</v>
      </c>
      <c r="G75" t="s">
        <v>257</v>
      </c>
      <c r="H75" t="s">
        <v>61</v>
      </c>
      <c r="I75">
        <v>13700</v>
      </c>
      <c r="J75">
        <v>-6</v>
      </c>
      <c r="K75" t="s">
        <v>52</v>
      </c>
      <c r="L75" t="s">
        <v>53</v>
      </c>
      <c r="M75">
        <v>13900</v>
      </c>
      <c r="N75">
        <v>150</v>
      </c>
    </row>
    <row r="76" spans="1:14" x14ac:dyDescent="0.35">
      <c r="A76" s="2">
        <v>45845</v>
      </c>
      <c r="B76" t="s">
        <v>42</v>
      </c>
      <c r="C76" s="5"/>
      <c r="D76" s="5" t="s">
        <v>104</v>
      </c>
      <c r="E76" s="5"/>
      <c r="F76" t="s">
        <v>206</v>
      </c>
      <c r="G76" t="s">
        <v>50</v>
      </c>
      <c r="H76" t="s">
        <v>61</v>
      </c>
      <c r="I76">
        <v>28100</v>
      </c>
      <c r="J76">
        <v>-6</v>
      </c>
      <c r="K76" t="s">
        <v>62</v>
      </c>
      <c r="L76" t="s">
        <v>35</v>
      </c>
      <c r="M76">
        <v>28100</v>
      </c>
      <c r="N76">
        <v>-6</v>
      </c>
    </row>
    <row r="77" spans="1:14" x14ac:dyDescent="0.35">
      <c r="A77" s="2">
        <v>45854</v>
      </c>
      <c r="B77" t="s">
        <v>42</v>
      </c>
      <c r="C77" s="5"/>
      <c r="D77" s="5" t="s">
        <v>104</v>
      </c>
      <c r="E77" s="5"/>
      <c r="F77" t="s">
        <v>206</v>
      </c>
      <c r="G77" t="s">
        <v>50</v>
      </c>
      <c r="H77" t="s">
        <v>269</v>
      </c>
      <c r="I77">
        <v>28500</v>
      </c>
      <c r="J77">
        <v>-6</v>
      </c>
      <c r="K77" t="s">
        <v>270</v>
      </c>
      <c r="L77" t="s">
        <v>35</v>
      </c>
      <c r="M77">
        <v>28500</v>
      </c>
      <c r="N77">
        <v>-6</v>
      </c>
    </row>
    <row r="78" spans="1:14" x14ac:dyDescent="0.35">
      <c r="A78" s="2">
        <v>45859</v>
      </c>
      <c r="B78" t="s">
        <v>42</v>
      </c>
      <c r="C78" s="5"/>
      <c r="D78" s="5" t="s">
        <v>271</v>
      </c>
      <c r="E78" s="5"/>
      <c r="F78" t="s">
        <v>206</v>
      </c>
      <c r="G78" t="s">
        <v>33</v>
      </c>
      <c r="H78" t="s">
        <v>137</v>
      </c>
      <c r="I78">
        <v>30900</v>
      </c>
      <c r="J78">
        <v>-6</v>
      </c>
      <c r="K78" t="s">
        <v>79</v>
      </c>
      <c r="L78" t="s">
        <v>35</v>
      </c>
      <c r="M78">
        <v>30900</v>
      </c>
      <c r="N78">
        <v>-6</v>
      </c>
    </row>
    <row r="79" spans="1:14" x14ac:dyDescent="0.35">
      <c r="A79" s="2">
        <v>45857</v>
      </c>
      <c r="B79" t="s">
        <v>42</v>
      </c>
      <c r="C79" s="5"/>
      <c r="D79" s="5"/>
      <c r="E79" s="5" t="s">
        <v>192</v>
      </c>
      <c r="F79" t="s">
        <v>206</v>
      </c>
      <c r="G79" t="s">
        <v>50</v>
      </c>
      <c r="H79" t="s">
        <v>272</v>
      </c>
      <c r="I79">
        <v>80000</v>
      </c>
      <c r="J79">
        <v>-4</v>
      </c>
      <c r="K79" t="s">
        <v>52</v>
      </c>
      <c r="L79" t="s">
        <v>53</v>
      </c>
      <c r="M79">
        <v>80000</v>
      </c>
      <c r="N79">
        <v>-2</v>
      </c>
    </row>
    <row r="80" spans="1:14" x14ac:dyDescent="0.35">
      <c r="A80" s="2">
        <v>45881</v>
      </c>
      <c r="B80" t="s">
        <v>42</v>
      </c>
      <c r="C80" s="5" t="s">
        <v>288</v>
      </c>
      <c r="D80" s="5" t="s">
        <v>104</v>
      </c>
      <c r="E80" s="5"/>
      <c r="F80" t="s">
        <v>206</v>
      </c>
      <c r="G80" t="s">
        <v>33</v>
      </c>
      <c r="H80" t="s">
        <v>126</v>
      </c>
      <c r="I80">
        <v>35500</v>
      </c>
      <c r="J80">
        <v>-6</v>
      </c>
      <c r="K80" t="s">
        <v>79</v>
      </c>
      <c r="L80" t="s">
        <v>143</v>
      </c>
      <c r="M80">
        <v>36500</v>
      </c>
    </row>
    <row r="81" spans="1:14" x14ac:dyDescent="0.35">
      <c r="A81" s="2">
        <v>45882</v>
      </c>
      <c r="B81" t="s">
        <v>42</v>
      </c>
      <c r="C81" s="5" t="s">
        <v>289</v>
      </c>
      <c r="D81" s="5"/>
      <c r="E81" s="5"/>
      <c r="F81" t="s">
        <v>56</v>
      </c>
      <c r="G81" t="s">
        <v>179</v>
      </c>
      <c r="H81" t="s">
        <v>290</v>
      </c>
      <c r="I81">
        <v>42500</v>
      </c>
      <c r="J81">
        <v>-6</v>
      </c>
      <c r="K81" t="s">
        <v>52</v>
      </c>
      <c r="L81" t="s">
        <v>35</v>
      </c>
      <c r="M81">
        <v>42500</v>
      </c>
      <c r="N81">
        <v>-6</v>
      </c>
    </row>
    <row r="82" spans="1:14" x14ac:dyDescent="0.35">
      <c r="A82" s="2">
        <v>45892</v>
      </c>
      <c r="B82" t="s">
        <v>42</v>
      </c>
      <c r="C82" s="5"/>
      <c r="D82" s="5" t="s">
        <v>157</v>
      </c>
      <c r="E82" s="5"/>
      <c r="F82" t="s">
        <v>296</v>
      </c>
      <c r="G82" t="s">
        <v>50</v>
      </c>
      <c r="H82" t="s">
        <v>290</v>
      </c>
      <c r="I82">
        <v>29250</v>
      </c>
      <c r="J82">
        <v>-6</v>
      </c>
      <c r="K82" t="s">
        <v>52</v>
      </c>
      <c r="L82" t="s">
        <v>53</v>
      </c>
      <c r="M82">
        <v>29900</v>
      </c>
      <c r="N82">
        <v>120</v>
      </c>
    </row>
    <row r="83" spans="1:14" x14ac:dyDescent="0.35">
      <c r="A83" s="2">
        <v>45892</v>
      </c>
      <c r="B83" t="s">
        <v>42</v>
      </c>
      <c r="C83" s="5"/>
      <c r="D83" s="5" t="s">
        <v>297</v>
      </c>
      <c r="E83" s="5"/>
      <c r="F83" t="s">
        <v>296</v>
      </c>
      <c r="G83" t="s">
        <v>50</v>
      </c>
      <c r="H83" t="s">
        <v>290</v>
      </c>
      <c r="I83">
        <v>29250</v>
      </c>
      <c r="J83">
        <v>-6</v>
      </c>
      <c r="K83" t="s">
        <v>52</v>
      </c>
      <c r="L83" t="s">
        <v>53</v>
      </c>
      <c r="M83">
        <v>29900</v>
      </c>
      <c r="N83">
        <v>120</v>
      </c>
    </row>
    <row r="84" spans="1:14" x14ac:dyDescent="0.35">
      <c r="A84" s="2">
        <v>45892</v>
      </c>
      <c r="B84" t="s">
        <v>42</v>
      </c>
      <c r="C84" s="5"/>
      <c r="D84" s="5" t="s">
        <v>111</v>
      </c>
      <c r="E84" s="5"/>
      <c r="F84" t="s">
        <v>296</v>
      </c>
      <c r="G84" t="s">
        <v>50</v>
      </c>
      <c r="H84" t="s">
        <v>290</v>
      </c>
      <c r="I84">
        <v>32000</v>
      </c>
      <c r="J84">
        <v>-6</v>
      </c>
      <c r="K84" t="s">
        <v>52</v>
      </c>
      <c r="L84" t="s">
        <v>53</v>
      </c>
      <c r="M84">
        <v>33000</v>
      </c>
      <c r="N84">
        <v>120</v>
      </c>
    </row>
    <row r="85" spans="1:14" x14ac:dyDescent="0.35">
      <c r="A85" s="2">
        <v>45892</v>
      </c>
      <c r="B85" t="s">
        <v>42</v>
      </c>
      <c r="C85" s="5"/>
      <c r="D85" s="5" t="s">
        <v>298</v>
      </c>
      <c r="E85" s="5"/>
      <c r="F85" t="s">
        <v>296</v>
      </c>
      <c r="G85" t="s">
        <v>50</v>
      </c>
      <c r="H85" t="s">
        <v>290</v>
      </c>
      <c r="I85">
        <v>34000</v>
      </c>
      <c r="J85">
        <v>-6</v>
      </c>
      <c r="K85" t="s">
        <v>52</v>
      </c>
      <c r="L85" t="s">
        <v>53</v>
      </c>
      <c r="M85">
        <v>34750</v>
      </c>
      <c r="N85">
        <v>120</v>
      </c>
    </row>
    <row r="86" spans="1:14" x14ac:dyDescent="0.35">
      <c r="A86" s="2">
        <v>45892</v>
      </c>
      <c r="B86" t="s">
        <v>42</v>
      </c>
      <c r="C86" s="5"/>
      <c r="D86" s="5" t="s">
        <v>299</v>
      </c>
      <c r="E86" s="5"/>
      <c r="F86" t="s">
        <v>296</v>
      </c>
      <c r="G86" t="s">
        <v>50</v>
      </c>
      <c r="H86" t="s">
        <v>290</v>
      </c>
      <c r="I86">
        <v>34000</v>
      </c>
      <c r="J86">
        <v>-6</v>
      </c>
      <c r="K86" t="s">
        <v>52</v>
      </c>
      <c r="L86" t="s">
        <v>53</v>
      </c>
      <c r="M86">
        <v>34750</v>
      </c>
      <c r="N86">
        <v>120</v>
      </c>
    </row>
    <row r="87" spans="1:14" x14ac:dyDescent="0.35">
      <c r="A87" s="2">
        <v>45894</v>
      </c>
      <c r="B87" t="s">
        <v>42</v>
      </c>
      <c r="C87" s="5"/>
      <c r="D87" s="5" t="s">
        <v>93</v>
      </c>
      <c r="E87" s="5"/>
      <c r="F87" t="s">
        <v>198</v>
      </c>
      <c r="G87" t="s">
        <v>44</v>
      </c>
      <c r="H87" t="s">
        <v>94</v>
      </c>
      <c r="I87">
        <v>63000</v>
      </c>
      <c r="J87">
        <v>-6</v>
      </c>
      <c r="K87" t="s">
        <v>95</v>
      </c>
      <c r="L87" t="s">
        <v>80</v>
      </c>
      <c r="M87">
        <v>63000</v>
      </c>
      <c r="N87">
        <v>-6</v>
      </c>
    </row>
    <row r="88" spans="1:14" x14ac:dyDescent="0.35">
      <c r="A88" s="2">
        <v>45894</v>
      </c>
      <c r="B88" t="s">
        <v>42</v>
      </c>
      <c r="C88" s="5"/>
      <c r="D88" s="5"/>
      <c r="E88" s="5"/>
      <c r="F88" t="s">
        <v>198</v>
      </c>
      <c r="G88" t="s">
        <v>44</v>
      </c>
      <c r="H88" t="s">
        <v>94</v>
      </c>
      <c r="I88">
        <v>56000</v>
      </c>
      <c r="J88">
        <v>-6</v>
      </c>
      <c r="K88" t="s">
        <v>95</v>
      </c>
      <c r="L88" t="s">
        <v>80</v>
      </c>
      <c r="M88">
        <v>56000</v>
      </c>
      <c r="N88">
        <v>-6</v>
      </c>
    </row>
    <row r="89" spans="1:14" x14ac:dyDescent="0.35">
      <c r="A89" s="2">
        <v>45903</v>
      </c>
      <c r="B89" t="s">
        <v>42</v>
      </c>
      <c r="C89" s="5"/>
      <c r="D89" s="5" t="s">
        <v>104</v>
      </c>
      <c r="E89" s="5"/>
      <c r="F89" t="s">
        <v>49</v>
      </c>
      <c r="G89" t="s">
        <v>257</v>
      </c>
      <c r="H89" t="s">
        <v>300</v>
      </c>
      <c r="I89">
        <v>13800</v>
      </c>
      <c r="J89">
        <v>-8</v>
      </c>
      <c r="K89" t="s">
        <v>301</v>
      </c>
      <c r="L89" t="s">
        <v>53</v>
      </c>
      <c r="M89">
        <v>14150</v>
      </c>
      <c r="N89">
        <v>150</v>
      </c>
    </row>
    <row r="90" spans="1:14" x14ac:dyDescent="0.35">
      <c r="A90" s="2">
        <v>45913</v>
      </c>
      <c r="B90" t="s">
        <v>42</v>
      </c>
      <c r="C90" s="5"/>
      <c r="D90" s="5" t="s">
        <v>304</v>
      </c>
      <c r="E90" s="5"/>
      <c r="F90" t="s">
        <v>240</v>
      </c>
      <c r="G90" t="s">
        <v>44</v>
      </c>
      <c r="H90" t="s">
        <v>94</v>
      </c>
      <c r="I90">
        <v>53000</v>
      </c>
      <c r="J90">
        <v>-6</v>
      </c>
      <c r="K90" t="s">
        <v>95</v>
      </c>
      <c r="L90" t="s">
        <v>80</v>
      </c>
      <c r="M90">
        <v>55000</v>
      </c>
      <c r="N90">
        <v>-6</v>
      </c>
    </row>
    <row r="91" spans="1:14" x14ac:dyDescent="0.35">
      <c r="A91" s="2">
        <v>45913</v>
      </c>
      <c r="B91" t="s">
        <v>42</v>
      </c>
      <c r="C91" s="5"/>
      <c r="D91" s="5" t="s">
        <v>104</v>
      </c>
      <c r="E91" s="5"/>
      <c r="F91" t="s">
        <v>240</v>
      </c>
      <c r="G91" t="s">
        <v>44</v>
      </c>
      <c r="H91" t="s">
        <v>305</v>
      </c>
      <c r="I91">
        <v>41500</v>
      </c>
      <c r="J91">
        <v>-6</v>
      </c>
      <c r="K91" t="s">
        <v>52</v>
      </c>
      <c r="L91" t="s">
        <v>80</v>
      </c>
      <c r="M91">
        <v>43000</v>
      </c>
      <c r="N91">
        <v>-6</v>
      </c>
    </row>
    <row r="92" spans="1:14" x14ac:dyDescent="0.35">
      <c r="A92" s="2">
        <v>45913</v>
      </c>
      <c r="B92" t="s">
        <v>42</v>
      </c>
      <c r="C92" s="5"/>
      <c r="D92" s="5" t="s">
        <v>101</v>
      </c>
      <c r="E92" s="5"/>
      <c r="F92" t="s">
        <v>240</v>
      </c>
      <c r="G92" t="s">
        <v>44</v>
      </c>
      <c r="H92" t="s">
        <v>305</v>
      </c>
      <c r="I92">
        <v>37750</v>
      </c>
      <c r="J92">
        <v>-6</v>
      </c>
      <c r="K92" t="s">
        <v>52</v>
      </c>
      <c r="L92" t="s">
        <v>80</v>
      </c>
      <c r="M92">
        <v>39000</v>
      </c>
      <c r="N92">
        <v>-6</v>
      </c>
    </row>
    <row r="93" spans="1:14" x14ac:dyDescent="0.35">
      <c r="A93" s="2">
        <v>45920</v>
      </c>
      <c r="B93" t="s">
        <v>42</v>
      </c>
      <c r="C93" s="5"/>
      <c r="D93" s="5" t="s">
        <v>104</v>
      </c>
      <c r="E93" s="5"/>
      <c r="F93" t="s">
        <v>72</v>
      </c>
      <c r="G93" t="s">
        <v>33</v>
      </c>
      <c r="H93" t="s">
        <v>73</v>
      </c>
      <c r="I93">
        <v>18950</v>
      </c>
      <c r="J93">
        <v>-9</v>
      </c>
      <c r="K93" t="s">
        <v>52</v>
      </c>
      <c r="L93" t="s">
        <v>309</v>
      </c>
      <c r="M93">
        <v>19000</v>
      </c>
      <c r="N93">
        <v>150</v>
      </c>
    </row>
    <row r="94" spans="1:14" x14ac:dyDescent="0.35">
      <c r="A94" s="2">
        <v>45931</v>
      </c>
      <c r="B94" t="s">
        <v>42</v>
      </c>
      <c r="C94" s="5"/>
      <c r="D94" s="5" t="s">
        <v>311</v>
      </c>
      <c r="E94" s="5"/>
      <c r="F94" t="s">
        <v>206</v>
      </c>
      <c r="G94" t="s">
        <v>33</v>
      </c>
      <c r="H94" t="s">
        <v>312</v>
      </c>
      <c r="I94">
        <v>32250</v>
      </c>
      <c r="J94">
        <v>-6</v>
      </c>
      <c r="K94" t="s">
        <v>270</v>
      </c>
      <c r="L94" t="s">
        <v>35</v>
      </c>
      <c r="M94">
        <v>32250</v>
      </c>
      <c r="N94">
        <v>-6</v>
      </c>
    </row>
    <row r="95" spans="1:14" x14ac:dyDescent="0.35">
      <c r="A95" s="2">
        <v>45938</v>
      </c>
      <c r="B95" t="s">
        <v>42</v>
      </c>
      <c r="C95" s="5"/>
      <c r="D95" s="5" t="s">
        <v>316</v>
      </c>
      <c r="E95" s="5"/>
      <c r="F95" t="s">
        <v>296</v>
      </c>
      <c r="G95" t="s">
        <v>50</v>
      </c>
      <c r="H95" t="s">
        <v>290</v>
      </c>
      <c r="I95">
        <v>28000</v>
      </c>
      <c r="J95">
        <v>-6</v>
      </c>
      <c r="K95" t="s">
        <v>52</v>
      </c>
      <c r="L95" t="s">
        <v>53</v>
      </c>
      <c r="M95">
        <v>29900</v>
      </c>
      <c r="N95">
        <v>120</v>
      </c>
    </row>
    <row r="96" spans="1:14" x14ac:dyDescent="0.35">
      <c r="A96" s="2">
        <v>45939</v>
      </c>
      <c r="B96" t="s">
        <v>42</v>
      </c>
      <c r="C96" s="5"/>
      <c r="D96" s="5" t="s">
        <v>317</v>
      </c>
      <c r="E96" s="5"/>
      <c r="F96" t="s">
        <v>296</v>
      </c>
      <c r="G96" t="s">
        <v>50</v>
      </c>
      <c r="H96" t="s">
        <v>290</v>
      </c>
      <c r="I96">
        <v>28000</v>
      </c>
      <c r="J96">
        <v>-6</v>
      </c>
      <c r="K96" t="s">
        <v>52</v>
      </c>
      <c r="L96" t="s">
        <v>53</v>
      </c>
      <c r="M96">
        <v>29900</v>
      </c>
      <c r="N96">
        <v>120</v>
      </c>
    </row>
    <row r="97" spans="1:14" x14ac:dyDescent="0.35">
      <c r="A97" s="2">
        <v>45940</v>
      </c>
      <c r="B97" t="s">
        <v>42</v>
      </c>
      <c r="C97" s="5"/>
      <c r="D97" s="5" t="s">
        <v>318</v>
      </c>
      <c r="E97" s="5"/>
      <c r="F97" t="s">
        <v>296</v>
      </c>
      <c r="G97" t="s">
        <v>50</v>
      </c>
      <c r="H97" t="s">
        <v>290</v>
      </c>
      <c r="I97">
        <v>28000</v>
      </c>
      <c r="J97">
        <v>-6</v>
      </c>
      <c r="K97" t="s">
        <v>52</v>
      </c>
      <c r="L97" t="s">
        <v>53</v>
      </c>
      <c r="M97">
        <v>29900</v>
      </c>
      <c r="N97">
        <v>120</v>
      </c>
    </row>
    <row r="98" spans="1:14" x14ac:dyDescent="0.35">
      <c r="A98" s="2">
        <v>45939</v>
      </c>
      <c r="B98" t="s">
        <v>42</v>
      </c>
      <c r="C98" s="5"/>
      <c r="D98" s="5"/>
      <c r="E98" s="5"/>
      <c r="F98" t="s">
        <v>240</v>
      </c>
      <c r="G98" t="s">
        <v>44</v>
      </c>
      <c r="H98" t="s">
        <v>294</v>
      </c>
      <c r="I98">
        <v>38000</v>
      </c>
      <c r="J98">
        <v>-6</v>
      </c>
      <c r="K98" t="s">
        <v>28</v>
      </c>
      <c r="L98" t="s">
        <v>80</v>
      </c>
      <c r="M98">
        <v>40000</v>
      </c>
      <c r="N98">
        <v>-6</v>
      </c>
    </row>
    <row r="99" spans="1:14" x14ac:dyDescent="0.35">
      <c r="A99" s="2">
        <v>45939</v>
      </c>
      <c r="B99" t="s">
        <v>42</v>
      </c>
      <c r="C99" s="5"/>
      <c r="D99" s="5"/>
      <c r="E99" s="5"/>
      <c r="F99" t="s">
        <v>240</v>
      </c>
      <c r="G99" t="s">
        <v>44</v>
      </c>
      <c r="H99" t="s">
        <v>305</v>
      </c>
      <c r="I99">
        <v>41000</v>
      </c>
      <c r="J99">
        <v>-3</v>
      </c>
      <c r="K99" t="s">
        <v>52</v>
      </c>
      <c r="L99" t="s">
        <v>80</v>
      </c>
      <c r="M99">
        <v>38000</v>
      </c>
      <c r="N99">
        <v>-6</v>
      </c>
    </row>
    <row r="100" spans="1:14" x14ac:dyDescent="0.35">
      <c r="A100" s="2">
        <v>45939</v>
      </c>
      <c r="B100" t="s">
        <v>42</v>
      </c>
      <c r="C100" s="5"/>
      <c r="D100" s="5"/>
      <c r="E100" s="5"/>
      <c r="F100" t="s">
        <v>240</v>
      </c>
      <c r="G100" t="s">
        <v>44</v>
      </c>
      <c r="H100" t="s">
        <v>319</v>
      </c>
      <c r="I100">
        <v>38000</v>
      </c>
      <c r="J100">
        <v>-6</v>
      </c>
      <c r="K100" t="s">
        <v>52</v>
      </c>
      <c r="L100" t="s">
        <v>80</v>
      </c>
      <c r="M100">
        <v>38000</v>
      </c>
      <c r="N100">
        <v>-6</v>
      </c>
    </row>
    <row r="101" spans="1:14" x14ac:dyDescent="0.35">
      <c r="A101" s="2">
        <v>45945</v>
      </c>
      <c r="B101" t="s">
        <v>42</v>
      </c>
      <c r="C101" s="5"/>
      <c r="D101" s="5" t="s">
        <v>157</v>
      </c>
      <c r="E101" s="5"/>
      <c r="F101" t="s">
        <v>296</v>
      </c>
      <c r="G101" t="s">
        <v>50</v>
      </c>
      <c r="H101" t="s">
        <v>290</v>
      </c>
      <c r="I101">
        <v>28300</v>
      </c>
      <c r="J101">
        <v>-6</v>
      </c>
      <c r="K101" t="s">
        <v>52</v>
      </c>
      <c r="L101" t="s">
        <v>53</v>
      </c>
      <c r="M101">
        <v>29900</v>
      </c>
      <c r="N101">
        <v>120</v>
      </c>
    </row>
    <row r="102" spans="1:14" x14ac:dyDescent="0.35">
      <c r="A102" s="2">
        <v>45945</v>
      </c>
      <c r="B102" t="s">
        <v>42</v>
      </c>
      <c r="C102" s="5"/>
      <c r="D102" s="5" t="s">
        <v>231</v>
      </c>
      <c r="E102" s="5"/>
      <c r="F102" t="s">
        <v>296</v>
      </c>
      <c r="G102" t="s">
        <v>50</v>
      </c>
      <c r="H102" t="s">
        <v>290</v>
      </c>
      <c r="I102">
        <v>28300</v>
      </c>
      <c r="J102">
        <v>-6</v>
      </c>
      <c r="K102" t="s">
        <v>52</v>
      </c>
      <c r="L102" t="s">
        <v>53</v>
      </c>
      <c r="M102">
        <v>29900</v>
      </c>
      <c r="N102">
        <v>120</v>
      </c>
    </row>
    <row r="103" spans="1:14" x14ac:dyDescent="0.35">
      <c r="A103" s="2">
        <v>45945</v>
      </c>
      <c r="B103" t="s">
        <v>42</v>
      </c>
      <c r="C103" s="5"/>
      <c r="D103" s="5" t="s">
        <v>329</v>
      </c>
      <c r="E103" s="5"/>
      <c r="F103" t="s">
        <v>296</v>
      </c>
      <c r="G103" t="s">
        <v>50</v>
      </c>
      <c r="H103" t="s">
        <v>290</v>
      </c>
      <c r="I103">
        <v>32300</v>
      </c>
      <c r="J103">
        <v>-6</v>
      </c>
      <c r="K103" t="s">
        <v>52</v>
      </c>
      <c r="L103" t="s">
        <v>53</v>
      </c>
      <c r="M103">
        <v>33000</v>
      </c>
      <c r="N103">
        <v>120</v>
      </c>
    </row>
    <row r="104" spans="1:14" x14ac:dyDescent="0.35">
      <c r="A104" s="2">
        <v>45945</v>
      </c>
      <c r="B104" t="s">
        <v>42</v>
      </c>
      <c r="C104" s="5"/>
      <c r="D104" s="5" t="s">
        <v>330</v>
      </c>
      <c r="E104" s="5"/>
      <c r="F104" t="s">
        <v>296</v>
      </c>
      <c r="G104" t="s">
        <v>50</v>
      </c>
      <c r="H104" t="s">
        <v>290</v>
      </c>
      <c r="I104">
        <v>32300</v>
      </c>
      <c r="J104">
        <v>-6</v>
      </c>
      <c r="K104" t="s">
        <v>52</v>
      </c>
      <c r="L104" t="s">
        <v>53</v>
      </c>
      <c r="M104">
        <v>33000</v>
      </c>
      <c r="N104">
        <v>120</v>
      </c>
    </row>
    <row r="105" spans="1:14" x14ac:dyDescent="0.35">
      <c r="A105" s="2">
        <v>45946</v>
      </c>
      <c r="B105" t="s">
        <v>42</v>
      </c>
      <c r="C105" s="5"/>
      <c r="D105" s="5" t="s">
        <v>332</v>
      </c>
      <c r="E105" s="5"/>
      <c r="F105" t="s">
        <v>49</v>
      </c>
      <c r="G105" t="s">
        <v>50</v>
      </c>
      <c r="H105" t="s">
        <v>51</v>
      </c>
      <c r="I105">
        <v>17000</v>
      </c>
      <c r="J105">
        <v>-9</v>
      </c>
      <c r="K105" t="s">
        <v>52</v>
      </c>
      <c r="L105" t="s">
        <v>333</v>
      </c>
      <c r="M105">
        <v>17340</v>
      </c>
      <c r="N105">
        <v>-6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R29"/>
  <sheetViews>
    <sheetView topLeftCell="A13" workbookViewId="0">
      <selection activeCell="F7" sqref="F7"/>
    </sheetView>
  </sheetViews>
  <sheetFormatPr defaultRowHeight="14.5" x14ac:dyDescent="0.35"/>
  <cols>
    <col min="1" max="1" width="10.08984375" bestFit="1" customWidth="1"/>
    <col min="6" max="6" width="26.08984375" bestFit="1" customWidth="1"/>
  </cols>
  <sheetData>
    <row r="1" spans="1:18" ht="18.5" customHeight="1" x14ac:dyDescent="0.45">
      <c r="A1" s="1" t="s">
        <v>0</v>
      </c>
      <c r="B1" s="1" t="s">
        <v>1</v>
      </c>
      <c r="C1" s="1" t="s">
        <v>356</v>
      </c>
      <c r="D1" s="1" t="s">
        <v>5</v>
      </c>
      <c r="E1" s="1" t="s">
        <v>6</v>
      </c>
      <c r="F1" s="1" t="s">
        <v>357</v>
      </c>
      <c r="G1" s="1" t="s">
        <v>8</v>
      </c>
      <c r="H1" s="1" t="s">
        <v>9</v>
      </c>
      <c r="I1" s="1" t="s">
        <v>358</v>
      </c>
      <c r="J1" s="1" t="s">
        <v>15</v>
      </c>
      <c r="K1" s="1" t="s">
        <v>359</v>
      </c>
      <c r="L1" s="1"/>
    </row>
    <row r="2" spans="1:18" x14ac:dyDescent="0.35">
      <c r="A2" s="2">
        <v>45265</v>
      </c>
      <c r="B2" t="s">
        <v>54</v>
      </c>
      <c r="C2" s="5" t="s">
        <v>55</v>
      </c>
      <c r="D2" s="5"/>
      <c r="E2" s="5"/>
      <c r="F2" t="s">
        <v>56</v>
      </c>
      <c r="G2" t="s">
        <v>33</v>
      </c>
      <c r="H2" t="s">
        <v>57</v>
      </c>
      <c r="I2">
        <v>43000</v>
      </c>
      <c r="J2">
        <v>-4</v>
      </c>
      <c r="K2" t="s">
        <v>28</v>
      </c>
      <c r="L2" t="s">
        <v>53</v>
      </c>
      <c r="M2">
        <v>48000</v>
      </c>
      <c r="N2" t="s">
        <v>360</v>
      </c>
      <c r="P2" s="2"/>
      <c r="R2" s="2"/>
    </row>
    <row r="3" spans="1:18" x14ac:dyDescent="0.35">
      <c r="A3" s="2">
        <v>45265</v>
      </c>
      <c r="B3" t="s">
        <v>54</v>
      </c>
      <c r="C3" s="5" t="s">
        <v>58</v>
      </c>
      <c r="D3" s="5"/>
      <c r="E3" s="5"/>
      <c r="F3" t="s">
        <v>56</v>
      </c>
      <c r="G3" t="s">
        <v>33</v>
      </c>
      <c r="H3" t="s">
        <v>57</v>
      </c>
      <c r="I3">
        <v>55000</v>
      </c>
      <c r="J3">
        <v>-4</v>
      </c>
      <c r="K3" t="s">
        <v>28</v>
      </c>
      <c r="L3" t="s">
        <v>53</v>
      </c>
      <c r="M3">
        <v>55000</v>
      </c>
      <c r="N3" t="s">
        <v>360</v>
      </c>
      <c r="P3" s="2"/>
      <c r="R3" s="2"/>
    </row>
    <row r="4" spans="1:18" x14ac:dyDescent="0.35">
      <c r="A4" s="2">
        <v>45345</v>
      </c>
      <c r="B4" t="s">
        <v>54</v>
      </c>
      <c r="C4" s="5" t="s">
        <v>63</v>
      </c>
      <c r="D4" s="5"/>
      <c r="E4" s="5"/>
      <c r="F4" t="s">
        <v>32</v>
      </c>
      <c r="G4" t="s">
        <v>50</v>
      </c>
      <c r="H4" t="s">
        <v>89</v>
      </c>
      <c r="J4">
        <v>-6</v>
      </c>
      <c r="K4" t="s">
        <v>65</v>
      </c>
      <c r="L4" t="s">
        <v>35</v>
      </c>
      <c r="P4" s="2"/>
      <c r="R4" s="2"/>
    </row>
    <row r="5" spans="1:18" x14ac:dyDescent="0.35">
      <c r="A5" s="2">
        <v>45667</v>
      </c>
      <c r="B5" t="s">
        <v>54</v>
      </c>
      <c r="C5" s="5"/>
      <c r="D5" s="5"/>
      <c r="E5" s="5" t="s">
        <v>36</v>
      </c>
      <c r="F5" t="s">
        <v>56</v>
      </c>
      <c r="G5" t="s">
        <v>33</v>
      </c>
      <c r="H5" t="s">
        <v>173</v>
      </c>
      <c r="I5">
        <v>49500</v>
      </c>
      <c r="J5">
        <v>-6</v>
      </c>
      <c r="K5" t="s">
        <v>28</v>
      </c>
      <c r="L5" t="s">
        <v>53</v>
      </c>
      <c r="M5">
        <v>51000</v>
      </c>
      <c r="N5" t="s">
        <v>360</v>
      </c>
    </row>
    <row r="6" spans="1:18" x14ac:dyDescent="0.35">
      <c r="A6" s="2">
        <v>45667</v>
      </c>
      <c r="B6" t="s">
        <v>54</v>
      </c>
      <c r="C6" s="5"/>
      <c r="D6" s="5"/>
      <c r="E6" s="5" t="s">
        <v>174</v>
      </c>
      <c r="F6" t="s">
        <v>56</v>
      </c>
      <c r="G6" t="s">
        <v>33</v>
      </c>
      <c r="H6" t="s">
        <v>173</v>
      </c>
      <c r="I6">
        <v>54000</v>
      </c>
      <c r="J6">
        <v>-6</v>
      </c>
      <c r="K6" t="s">
        <v>28</v>
      </c>
      <c r="L6" t="s">
        <v>53</v>
      </c>
      <c r="M6">
        <v>56000</v>
      </c>
      <c r="N6" t="s">
        <v>360</v>
      </c>
    </row>
    <row r="7" spans="1:18" x14ac:dyDescent="0.35">
      <c r="A7" s="2">
        <v>45673</v>
      </c>
      <c r="B7" t="s">
        <v>54</v>
      </c>
      <c r="C7" s="5" t="s">
        <v>183</v>
      </c>
      <c r="D7" s="5"/>
      <c r="E7" s="5"/>
      <c r="F7" t="s">
        <v>32</v>
      </c>
      <c r="G7" t="s">
        <v>33</v>
      </c>
      <c r="H7" t="s">
        <v>173</v>
      </c>
      <c r="I7">
        <v>40000</v>
      </c>
      <c r="J7">
        <v>-6</v>
      </c>
      <c r="K7" t="s">
        <v>28</v>
      </c>
      <c r="L7" t="s">
        <v>35</v>
      </c>
      <c r="M7">
        <v>40000</v>
      </c>
    </row>
    <row r="8" spans="1:18" x14ac:dyDescent="0.35">
      <c r="A8" s="2">
        <v>45694</v>
      </c>
      <c r="B8" t="s">
        <v>54</v>
      </c>
      <c r="C8" s="5" t="s">
        <v>190</v>
      </c>
      <c r="D8" s="5"/>
      <c r="E8" s="5" t="s">
        <v>184</v>
      </c>
      <c r="F8" t="s">
        <v>56</v>
      </c>
      <c r="G8" t="s">
        <v>33</v>
      </c>
      <c r="H8" t="s">
        <v>173</v>
      </c>
      <c r="I8">
        <v>66000</v>
      </c>
      <c r="J8">
        <v>-6</v>
      </c>
      <c r="K8" t="s">
        <v>28</v>
      </c>
      <c r="L8" t="s">
        <v>53</v>
      </c>
      <c r="M8">
        <v>68000</v>
      </c>
      <c r="N8">
        <v>-6</v>
      </c>
    </row>
    <row r="9" spans="1:18" x14ac:dyDescent="0.35">
      <c r="A9" s="2">
        <v>45695</v>
      </c>
      <c r="B9" t="s">
        <v>54</v>
      </c>
      <c r="C9" s="5" t="s">
        <v>191</v>
      </c>
      <c r="D9" s="5"/>
      <c r="E9" s="5" t="s">
        <v>192</v>
      </c>
      <c r="F9" t="s">
        <v>56</v>
      </c>
      <c r="G9" t="s">
        <v>33</v>
      </c>
      <c r="H9" t="s">
        <v>173</v>
      </c>
      <c r="I9">
        <v>89000</v>
      </c>
      <c r="J9">
        <v>-6</v>
      </c>
      <c r="K9" t="s">
        <v>28</v>
      </c>
      <c r="L9" t="s">
        <v>53</v>
      </c>
      <c r="M9">
        <v>91000</v>
      </c>
      <c r="N9">
        <v>-6</v>
      </c>
    </row>
    <row r="10" spans="1:18" x14ac:dyDescent="0.35">
      <c r="A10" s="2">
        <v>45696</v>
      </c>
      <c r="B10" t="s">
        <v>54</v>
      </c>
      <c r="C10" s="5" t="s">
        <v>193</v>
      </c>
      <c r="D10" s="5"/>
      <c r="E10" s="5" t="s">
        <v>174</v>
      </c>
      <c r="F10" t="s">
        <v>56</v>
      </c>
      <c r="G10" t="s">
        <v>33</v>
      </c>
      <c r="H10" t="s">
        <v>194</v>
      </c>
      <c r="I10">
        <v>55000</v>
      </c>
      <c r="J10">
        <v>-6</v>
      </c>
      <c r="K10" t="s">
        <v>28</v>
      </c>
      <c r="L10" t="s">
        <v>53</v>
      </c>
      <c r="M10">
        <v>56500</v>
      </c>
      <c r="N10">
        <v>-6</v>
      </c>
    </row>
    <row r="11" spans="1:18" x14ac:dyDescent="0.35">
      <c r="A11" s="2">
        <v>45698</v>
      </c>
      <c r="B11" t="s">
        <v>54</v>
      </c>
      <c r="C11" s="5" t="s">
        <v>190</v>
      </c>
      <c r="D11" s="5"/>
      <c r="E11" s="5" t="s">
        <v>184</v>
      </c>
      <c r="F11" t="s">
        <v>56</v>
      </c>
      <c r="G11" t="s">
        <v>33</v>
      </c>
      <c r="H11" t="s">
        <v>195</v>
      </c>
      <c r="I11">
        <v>66000</v>
      </c>
      <c r="J11">
        <v>-6</v>
      </c>
      <c r="K11" t="s">
        <v>28</v>
      </c>
      <c r="L11" t="s">
        <v>53</v>
      </c>
      <c r="M11">
        <v>68000</v>
      </c>
      <c r="N11">
        <v>-6</v>
      </c>
    </row>
    <row r="12" spans="1:18" x14ac:dyDescent="0.35">
      <c r="A12" s="2">
        <v>45698</v>
      </c>
      <c r="B12" t="s">
        <v>54</v>
      </c>
      <c r="C12" s="5" t="s">
        <v>196</v>
      </c>
      <c r="D12" s="5"/>
      <c r="E12" s="5" t="s">
        <v>36</v>
      </c>
      <c r="F12" t="s">
        <v>56</v>
      </c>
      <c r="G12" t="s">
        <v>33</v>
      </c>
      <c r="H12" t="s">
        <v>195</v>
      </c>
      <c r="I12">
        <v>49500</v>
      </c>
      <c r="J12">
        <v>-6</v>
      </c>
      <c r="K12" t="s">
        <v>28</v>
      </c>
      <c r="L12" t="s">
        <v>53</v>
      </c>
      <c r="M12">
        <v>51000</v>
      </c>
      <c r="N12">
        <v>-6</v>
      </c>
    </row>
    <row r="13" spans="1:18" x14ac:dyDescent="0.35">
      <c r="A13" s="2">
        <v>45707</v>
      </c>
      <c r="B13" t="s">
        <v>54</v>
      </c>
      <c r="C13" s="5" t="s">
        <v>205</v>
      </c>
      <c r="D13" s="5"/>
      <c r="E13" s="5"/>
      <c r="F13" t="s">
        <v>206</v>
      </c>
      <c r="G13" t="s">
        <v>33</v>
      </c>
      <c r="H13" t="s">
        <v>195</v>
      </c>
      <c r="I13">
        <v>38000</v>
      </c>
      <c r="J13">
        <v>-6</v>
      </c>
      <c r="K13" t="s">
        <v>28</v>
      </c>
      <c r="L13" t="s">
        <v>35</v>
      </c>
      <c r="M13">
        <v>38000</v>
      </c>
    </row>
    <row r="14" spans="1:18" x14ac:dyDescent="0.35">
      <c r="A14" s="2">
        <v>45707</v>
      </c>
      <c r="B14" t="s">
        <v>54</v>
      </c>
      <c r="C14" s="5" t="s">
        <v>205</v>
      </c>
      <c r="D14" s="5"/>
      <c r="E14" s="5"/>
      <c r="F14" t="s">
        <v>206</v>
      </c>
      <c r="G14" t="s">
        <v>33</v>
      </c>
      <c r="H14" t="s">
        <v>27</v>
      </c>
      <c r="I14">
        <v>38000</v>
      </c>
      <c r="J14">
        <v>-6</v>
      </c>
      <c r="K14" t="s">
        <v>28</v>
      </c>
      <c r="L14" t="s">
        <v>35</v>
      </c>
      <c r="M14">
        <v>38000</v>
      </c>
    </row>
    <row r="15" spans="1:18" x14ac:dyDescent="0.35">
      <c r="A15" s="2">
        <v>45707</v>
      </c>
      <c r="B15" t="s">
        <v>54</v>
      </c>
      <c r="C15" s="5" t="s">
        <v>205</v>
      </c>
      <c r="D15" s="5"/>
      <c r="E15" s="5"/>
      <c r="F15" t="s">
        <v>206</v>
      </c>
      <c r="G15" t="s">
        <v>33</v>
      </c>
      <c r="H15" t="s">
        <v>207</v>
      </c>
      <c r="I15">
        <v>38000</v>
      </c>
      <c r="J15">
        <v>-6</v>
      </c>
      <c r="L15" t="s">
        <v>35</v>
      </c>
      <c r="M15">
        <v>38000</v>
      </c>
    </row>
    <row r="16" spans="1:18" x14ac:dyDescent="0.35">
      <c r="A16" s="2">
        <v>45729</v>
      </c>
      <c r="B16" t="s">
        <v>54</v>
      </c>
      <c r="C16" s="5"/>
      <c r="D16" s="5"/>
      <c r="E16" s="5" t="s">
        <v>192</v>
      </c>
      <c r="F16" t="s">
        <v>56</v>
      </c>
      <c r="G16" t="s">
        <v>33</v>
      </c>
      <c r="H16" t="s">
        <v>222</v>
      </c>
      <c r="I16">
        <v>85000</v>
      </c>
      <c r="J16">
        <v>-6</v>
      </c>
      <c r="K16" t="s">
        <v>28</v>
      </c>
      <c r="L16" t="s">
        <v>53</v>
      </c>
      <c r="M16">
        <v>87000</v>
      </c>
      <c r="N16" t="s">
        <v>360</v>
      </c>
    </row>
    <row r="17" spans="1:14" x14ac:dyDescent="0.35">
      <c r="A17" s="2">
        <v>45729</v>
      </c>
      <c r="B17" t="s">
        <v>54</v>
      </c>
      <c r="C17" s="5"/>
      <c r="D17" s="5"/>
      <c r="E17" s="5" t="s">
        <v>223</v>
      </c>
      <c r="F17" t="s">
        <v>56</v>
      </c>
      <c r="G17" t="s">
        <v>33</v>
      </c>
      <c r="H17" t="s">
        <v>222</v>
      </c>
      <c r="I17">
        <v>95000</v>
      </c>
      <c r="J17">
        <v>-6</v>
      </c>
      <c r="K17" t="s">
        <v>28</v>
      </c>
      <c r="L17" t="s">
        <v>53</v>
      </c>
      <c r="M17">
        <v>97000</v>
      </c>
      <c r="N17" t="s">
        <v>360</v>
      </c>
    </row>
    <row r="18" spans="1:14" x14ac:dyDescent="0.35">
      <c r="A18" s="2">
        <v>45735</v>
      </c>
      <c r="B18" t="s">
        <v>54</v>
      </c>
      <c r="C18" s="5"/>
      <c r="D18" s="5"/>
      <c r="E18" s="5" t="s">
        <v>182</v>
      </c>
      <c r="F18" t="s">
        <v>56</v>
      </c>
      <c r="G18" t="s">
        <v>33</v>
      </c>
      <c r="H18" t="s">
        <v>222</v>
      </c>
      <c r="I18">
        <v>111000</v>
      </c>
      <c r="J18">
        <v>-6</v>
      </c>
      <c r="K18" t="s">
        <v>28</v>
      </c>
      <c r="L18" t="s">
        <v>53</v>
      </c>
      <c r="M18">
        <v>115000</v>
      </c>
      <c r="N18">
        <v>-4</v>
      </c>
    </row>
    <row r="19" spans="1:14" x14ac:dyDescent="0.35">
      <c r="A19" s="2">
        <v>45735</v>
      </c>
      <c r="B19" t="s">
        <v>54</v>
      </c>
      <c r="C19" s="5"/>
      <c r="D19" s="5"/>
      <c r="E19" s="5" t="s">
        <v>182</v>
      </c>
      <c r="F19" t="s">
        <v>225</v>
      </c>
      <c r="G19" t="s">
        <v>33</v>
      </c>
      <c r="H19" t="s">
        <v>226</v>
      </c>
      <c r="I19">
        <v>125000</v>
      </c>
      <c r="J19">
        <v>-2</v>
      </c>
      <c r="L19" t="s">
        <v>53</v>
      </c>
      <c r="M19">
        <v>127250</v>
      </c>
      <c r="N19">
        <v>-2</v>
      </c>
    </row>
    <row r="20" spans="1:14" x14ac:dyDescent="0.35">
      <c r="A20" s="2">
        <v>45770</v>
      </c>
      <c r="B20" t="s">
        <v>54</v>
      </c>
      <c r="C20" s="5" t="s">
        <v>205</v>
      </c>
      <c r="D20" s="5"/>
      <c r="E20" s="5"/>
      <c r="F20" t="s">
        <v>206</v>
      </c>
      <c r="G20" t="s">
        <v>50</v>
      </c>
      <c r="H20" t="s">
        <v>195</v>
      </c>
      <c r="I20">
        <v>38000</v>
      </c>
      <c r="J20">
        <v>-6</v>
      </c>
      <c r="K20" t="s">
        <v>28</v>
      </c>
      <c r="L20" t="s">
        <v>35</v>
      </c>
      <c r="M20">
        <v>38000</v>
      </c>
      <c r="N20">
        <v>-6</v>
      </c>
    </row>
    <row r="21" spans="1:14" x14ac:dyDescent="0.35">
      <c r="A21" s="2">
        <v>45792</v>
      </c>
      <c r="B21" t="s">
        <v>54</v>
      </c>
      <c r="C21" s="5" t="s">
        <v>205</v>
      </c>
      <c r="D21" s="5"/>
      <c r="E21" s="5"/>
      <c r="F21" t="s">
        <v>206</v>
      </c>
      <c r="G21" t="s">
        <v>33</v>
      </c>
      <c r="H21" t="s">
        <v>195</v>
      </c>
      <c r="I21">
        <v>37000</v>
      </c>
      <c r="J21">
        <v>-6</v>
      </c>
      <c r="K21" t="s">
        <v>28</v>
      </c>
      <c r="L21" t="s">
        <v>35</v>
      </c>
      <c r="M21">
        <v>37000</v>
      </c>
      <c r="N21">
        <v>-6</v>
      </c>
    </row>
    <row r="22" spans="1:14" x14ac:dyDescent="0.35">
      <c r="A22" s="2">
        <v>45796</v>
      </c>
      <c r="B22" t="s">
        <v>54</v>
      </c>
      <c r="C22" s="5" t="s">
        <v>243</v>
      </c>
      <c r="D22" s="5"/>
      <c r="E22" s="5"/>
      <c r="F22" t="s">
        <v>206</v>
      </c>
      <c r="G22" t="s">
        <v>33</v>
      </c>
      <c r="H22" t="s">
        <v>195</v>
      </c>
      <c r="I22">
        <v>65000</v>
      </c>
      <c r="J22">
        <v>-6</v>
      </c>
      <c r="K22" t="s">
        <v>28</v>
      </c>
      <c r="L22" t="s">
        <v>35</v>
      </c>
      <c r="M22">
        <v>65000</v>
      </c>
      <c r="N22">
        <v>-6</v>
      </c>
    </row>
    <row r="23" spans="1:14" x14ac:dyDescent="0.35">
      <c r="A23" s="2">
        <v>45796</v>
      </c>
      <c r="B23" t="s">
        <v>54</v>
      </c>
      <c r="C23" s="5" t="s">
        <v>247</v>
      </c>
      <c r="D23" s="5"/>
      <c r="E23" s="5"/>
      <c r="F23" t="s">
        <v>206</v>
      </c>
      <c r="G23" t="s">
        <v>33</v>
      </c>
      <c r="H23" t="s">
        <v>195</v>
      </c>
      <c r="I23">
        <v>65000</v>
      </c>
      <c r="J23">
        <v>-6</v>
      </c>
      <c r="K23" t="s">
        <v>28</v>
      </c>
      <c r="L23" t="s">
        <v>35</v>
      </c>
      <c r="M23">
        <v>65000</v>
      </c>
      <c r="N23">
        <v>-6</v>
      </c>
    </row>
    <row r="24" spans="1:14" x14ac:dyDescent="0.35">
      <c r="A24" s="2">
        <v>45847</v>
      </c>
      <c r="B24" t="s">
        <v>54</v>
      </c>
      <c r="C24" s="5" t="s">
        <v>259</v>
      </c>
      <c r="D24" s="5"/>
      <c r="E24" s="5"/>
      <c r="F24" t="s">
        <v>206</v>
      </c>
      <c r="G24" t="s">
        <v>33</v>
      </c>
      <c r="H24" t="s">
        <v>261</v>
      </c>
      <c r="I24">
        <v>37000</v>
      </c>
      <c r="J24">
        <v>-6</v>
      </c>
      <c r="L24" t="s">
        <v>35</v>
      </c>
      <c r="M24">
        <v>37000</v>
      </c>
      <c r="N24">
        <v>-6</v>
      </c>
    </row>
    <row r="25" spans="1:14" x14ac:dyDescent="0.35">
      <c r="A25" s="2">
        <v>45847</v>
      </c>
      <c r="B25" t="s">
        <v>54</v>
      </c>
      <c r="C25" s="5" t="s">
        <v>259</v>
      </c>
      <c r="D25" s="5"/>
      <c r="E25" s="5"/>
      <c r="F25" t="s">
        <v>206</v>
      </c>
      <c r="G25" t="s">
        <v>33</v>
      </c>
      <c r="H25" t="s">
        <v>262</v>
      </c>
      <c r="I25">
        <v>38000</v>
      </c>
      <c r="J25">
        <v>-6</v>
      </c>
      <c r="L25" t="s">
        <v>35</v>
      </c>
      <c r="M25">
        <v>38000</v>
      </c>
      <c r="N25">
        <v>-6</v>
      </c>
    </row>
    <row r="26" spans="1:14" x14ac:dyDescent="0.35">
      <c r="A26" s="2">
        <v>45887</v>
      </c>
      <c r="B26" t="s">
        <v>54</v>
      </c>
      <c r="C26" s="5" t="s">
        <v>292</v>
      </c>
      <c r="D26" s="5"/>
      <c r="E26" s="5"/>
      <c r="F26" t="s">
        <v>240</v>
      </c>
      <c r="G26" t="s">
        <v>33</v>
      </c>
      <c r="H26" t="s">
        <v>293</v>
      </c>
      <c r="I26">
        <v>46500</v>
      </c>
      <c r="J26">
        <v>-6</v>
      </c>
      <c r="L26" t="s">
        <v>35</v>
      </c>
      <c r="M26">
        <v>46500</v>
      </c>
      <c r="N26">
        <v>-6</v>
      </c>
    </row>
    <row r="27" spans="1:14" x14ac:dyDescent="0.35">
      <c r="A27" s="2">
        <v>45909</v>
      </c>
      <c r="B27" t="s">
        <v>54</v>
      </c>
      <c r="C27" s="5" t="s">
        <v>303</v>
      </c>
      <c r="D27" s="5"/>
      <c r="E27" s="5"/>
      <c r="F27" t="s">
        <v>240</v>
      </c>
      <c r="G27" t="s">
        <v>33</v>
      </c>
      <c r="H27" t="s">
        <v>207</v>
      </c>
      <c r="I27">
        <v>43600</v>
      </c>
      <c r="J27">
        <v>-6</v>
      </c>
      <c r="L27" t="s">
        <v>35</v>
      </c>
      <c r="M27">
        <v>43600</v>
      </c>
      <c r="N27">
        <v>-6</v>
      </c>
    </row>
    <row r="28" spans="1:14" x14ac:dyDescent="0.35">
      <c r="A28" s="2">
        <v>45943</v>
      </c>
      <c r="B28" t="s">
        <v>54</v>
      </c>
      <c r="C28" s="5" t="s">
        <v>327</v>
      </c>
      <c r="D28" s="5"/>
      <c r="E28" s="5"/>
      <c r="F28" t="s">
        <v>56</v>
      </c>
      <c r="G28" t="s">
        <v>33</v>
      </c>
      <c r="H28" t="s">
        <v>195</v>
      </c>
      <c r="I28">
        <v>61000</v>
      </c>
      <c r="J28">
        <v>-6</v>
      </c>
      <c r="K28" t="s">
        <v>28</v>
      </c>
      <c r="L28" t="s">
        <v>53</v>
      </c>
      <c r="M28">
        <v>65000</v>
      </c>
      <c r="N28">
        <v>120</v>
      </c>
    </row>
    <row r="29" spans="1:14" x14ac:dyDescent="0.35">
      <c r="A29" s="2">
        <v>45943</v>
      </c>
      <c r="B29" t="s">
        <v>54</v>
      </c>
      <c r="C29" s="5" t="s">
        <v>327</v>
      </c>
      <c r="D29" s="5"/>
      <c r="E29" s="5"/>
      <c r="F29" t="s">
        <v>56</v>
      </c>
      <c r="G29" t="s">
        <v>33</v>
      </c>
      <c r="H29" t="s">
        <v>194</v>
      </c>
      <c r="I29">
        <v>63500</v>
      </c>
      <c r="J29">
        <v>-6</v>
      </c>
      <c r="K29" t="s">
        <v>28</v>
      </c>
      <c r="L29" t="s">
        <v>53</v>
      </c>
      <c r="M29">
        <v>67000</v>
      </c>
      <c r="N29">
        <v>120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R6"/>
  <sheetViews>
    <sheetView workbookViewId="0"/>
  </sheetViews>
  <sheetFormatPr defaultRowHeight="14.5" x14ac:dyDescent="0.35"/>
  <cols>
    <col min="1" max="1" width="10.08984375" bestFit="1" customWidth="1"/>
  </cols>
  <sheetData>
    <row r="1" spans="1:18" ht="18.5" customHeight="1" x14ac:dyDescent="0.45">
      <c r="A1" s="1" t="s">
        <v>0</v>
      </c>
      <c r="B1" s="1" t="s">
        <v>1</v>
      </c>
      <c r="C1" s="1" t="s">
        <v>356</v>
      </c>
      <c r="D1" s="1" t="s">
        <v>5</v>
      </c>
      <c r="E1" s="1" t="s">
        <v>6</v>
      </c>
      <c r="F1" s="1" t="s">
        <v>357</v>
      </c>
      <c r="G1" s="1" t="s">
        <v>8</v>
      </c>
      <c r="H1" s="1" t="s">
        <v>9</v>
      </c>
      <c r="I1" s="1" t="s">
        <v>358</v>
      </c>
      <c r="J1" s="1" t="s">
        <v>15</v>
      </c>
      <c r="K1" s="1" t="s">
        <v>359</v>
      </c>
      <c r="L1" s="1"/>
    </row>
    <row r="2" spans="1:18" x14ac:dyDescent="0.35">
      <c r="A2" s="2">
        <v>45303</v>
      </c>
      <c r="B2" t="s">
        <v>67</v>
      </c>
      <c r="C2" s="5" t="s">
        <v>68</v>
      </c>
      <c r="D2" s="5"/>
      <c r="E2" s="5"/>
      <c r="F2" t="s">
        <v>32</v>
      </c>
      <c r="G2" t="s">
        <v>26</v>
      </c>
      <c r="H2" t="s">
        <v>69</v>
      </c>
      <c r="I2">
        <v>165000</v>
      </c>
      <c r="J2">
        <v>-6</v>
      </c>
      <c r="K2" t="s">
        <v>28</v>
      </c>
      <c r="L2" t="s">
        <v>35</v>
      </c>
      <c r="M2">
        <v>165000</v>
      </c>
      <c r="P2" s="2"/>
      <c r="R2" s="2"/>
    </row>
    <row r="3" spans="1:18" x14ac:dyDescent="0.35">
      <c r="A3" s="2">
        <v>45372</v>
      </c>
      <c r="B3" t="s">
        <v>67</v>
      </c>
      <c r="C3" s="5" t="s">
        <v>100</v>
      </c>
      <c r="D3" s="5"/>
      <c r="E3" s="5"/>
      <c r="F3" t="s">
        <v>32</v>
      </c>
      <c r="H3" t="s">
        <v>65</v>
      </c>
      <c r="K3" t="s">
        <v>65</v>
      </c>
      <c r="P3" s="2"/>
      <c r="R3" s="2"/>
    </row>
    <row r="4" spans="1:18" x14ac:dyDescent="0.35">
      <c r="A4" s="2">
        <v>45462</v>
      </c>
      <c r="B4" t="s">
        <v>67</v>
      </c>
      <c r="C4" s="5" t="s">
        <v>117</v>
      </c>
      <c r="D4" s="5"/>
      <c r="E4" s="5"/>
      <c r="F4" t="s">
        <v>32</v>
      </c>
      <c r="G4" t="s">
        <v>26</v>
      </c>
      <c r="H4" t="s">
        <v>118</v>
      </c>
      <c r="I4">
        <v>160000</v>
      </c>
      <c r="J4">
        <v>-6</v>
      </c>
      <c r="L4" t="s">
        <v>35</v>
      </c>
      <c r="M4">
        <v>160000</v>
      </c>
      <c r="P4" s="2"/>
      <c r="R4" s="2"/>
    </row>
    <row r="5" spans="1:18" x14ac:dyDescent="0.35">
      <c r="A5" s="2">
        <v>45462</v>
      </c>
      <c r="B5" t="s">
        <v>67</v>
      </c>
      <c r="C5" s="5" t="s">
        <v>119</v>
      </c>
      <c r="D5" s="5"/>
      <c r="E5" s="5"/>
      <c r="F5" t="s">
        <v>32</v>
      </c>
      <c r="G5" t="s">
        <v>26</v>
      </c>
      <c r="H5" t="s">
        <v>69</v>
      </c>
      <c r="I5">
        <v>155000</v>
      </c>
      <c r="J5">
        <v>-6</v>
      </c>
      <c r="K5" t="s">
        <v>28</v>
      </c>
      <c r="L5" t="s">
        <v>35</v>
      </c>
      <c r="M5">
        <v>155000</v>
      </c>
      <c r="P5" s="2"/>
      <c r="R5" s="2"/>
    </row>
    <row r="6" spans="1:18" x14ac:dyDescent="0.35">
      <c r="A6" s="2">
        <v>45464</v>
      </c>
      <c r="B6" t="s">
        <v>67</v>
      </c>
      <c r="C6" s="5" t="s">
        <v>117</v>
      </c>
      <c r="D6" s="5"/>
      <c r="E6" s="5"/>
      <c r="F6" t="s">
        <v>32</v>
      </c>
      <c r="G6" t="s">
        <v>26</v>
      </c>
      <c r="H6" t="s">
        <v>118</v>
      </c>
      <c r="L6" t="s">
        <v>35</v>
      </c>
      <c r="P6" s="2"/>
      <c r="R6" s="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R2"/>
  <sheetViews>
    <sheetView workbookViewId="0"/>
  </sheetViews>
  <sheetFormatPr defaultRowHeight="14.5" x14ac:dyDescent="0.35"/>
  <cols>
    <col min="1" max="1" width="10.08984375" bestFit="1" customWidth="1"/>
  </cols>
  <sheetData>
    <row r="1" spans="1:18" ht="18.5" customHeight="1" x14ac:dyDescent="0.45">
      <c r="A1" s="1" t="s">
        <v>0</v>
      </c>
      <c r="B1" s="1" t="s">
        <v>1</v>
      </c>
      <c r="C1" s="1" t="s">
        <v>356</v>
      </c>
      <c r="D1" s="1" t="s">
        <v>5</v>
      </c>
      <c r="E1" s="1" t="s">
        <v>6</v>
      </c>
      <c r="F1" s="1" t="s">
        <v>357</v>
      </c>
      <c r="G1" s="1" t="s">
        <v>8</v>
      </c>
      <c r="H1" s="1" t="s">
        <v>9</v>
      </c>
      <c r="I1" s="1" t="s">
        <v>358</v>
      </c>
      <c r="J1" s="1" t="s">
        <v>15</v>
      </c>
      <c r="K1" s="1" t="s">
        <v>359</v>
      </c>
      <c r="L1" s="1"/>
    </row>
    <row r="2" spans="1:18" x14ac:dyDescent="0.35">
      <c r="A2" s="2">
        <v>45330</v>
      </c>
      <c r="B2" t="s">
        <v>81</v>
      </c>
      <c r="C2" s="5" t="s">
        <v>82</v>
      </c>
      <c r="D2" s="5"/>
      <c r="E2" s="5"/>
      <c r="F2" t="s">
        <v>32</v>
      </c>
      <c r="G2" t="s">
        <v>50</v>
      </c>
      <c r="H2" t="s">
        <v>83</v>
      </c>
      <c r="I2">
        <v>52000</v>
      </c>
      <c r="J2">
        <v>-4</v>
      </c>
      <c r="K2" t="s">
        <v>28</v>
      </c>
      <c r="L2" t="s">
        <v>35</v>
      </c>
      <c r="M2">
        <v>52000</v>
      </c>
      <c r="P2" s="2"/>
      <c r="R2" s="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R7"/>
  <sheetViews>
    <sheetView workbookViewId="0"/>
  </sheetViews>
  <sheetFormatPr defaultRowHeight="14.5" x14ac:dyDescent="0.35"/>
  <cols>
    <col min="1" max="1" width="10.08984375" bestFit="1" customWidth="1"/>
  </cols>
  <sheetData>
    <row r="1" spans="1:18" ht="18.5" customHeight="1" x14ac:dyDescent="0.45">
      <c r="A1" s="1" t="s">
        <v>0</v>
      </c>
      <c r="B1" s="1" t="s">
        <v>1</v>
      </c>
      <c r="C1" s="1" t="s">
        <v>356</v>
      </c>
      <c r="D1" s="1" t="s">
        <v>5</v>
      </c>
      <c r="E1" s="1" t="s">
        <v>6</v>
      </c>
      <c r="F1" s="1" t="s">
        <v>357</v>
      </c>
      <c r="G1" s="1" t="s">
        <v>8</v>
      </c>
      <c r="H1" s="1" t="s">
        <v>9</v>
      </c>
      <c r="I1" s="1" t="s">
        <v>358</v>
      </c>
      <c r="J1" s="1" t="s">
        <v>15</v>
      </c>
      <c r="K1" s="1" t="s">
        <v>359</v>
      </c>
      <c r="L1" s="1"/>
    </row>
    <row r="2" spans="1:18" x14ac:dyDescent="0.35">
      <c r="A2" s="2">
        <v>45343</v>
      </c>
      <c r="B2" t="s">
        <v>86</v>
      </c>
      <c r="C2" s="5" t="s">
        <v>87</v>
      </c>
      <c r="D2" s="5"/>
      <c r="E2" s="5" t="s">
        <v>36</v>
      </c>
      <c r="F2" t="s">
        <v>32</v>
      </c>
      <c r="G2" t="s">
        <v>33</v>
      </c>
      <c r="H2" t="s">
        <v>88</v>
      </c>
      <c r="I2">
        <v>165000</v>
      </c>
      <c r="J2">
        <v>-4</v>
      </c>
      <c r="K2" t="s">
        <v>28</v>
      </c>
      <c r="L2" t="s">
        <v>35</v>
      </c>
      <c r="M2">
        <v>165000</v>
      </c>
      <c r="P2" s="2"/>
      <c r="R2" s="2"/>
    </row>
    <row r="3" spans="1:18" x14ac:dyDescent="0.35">
      <c r="A3" s="2">
        <v>45741</v>
      </c>
      <c r="B3" t="s">
        <v>86</v>
      </c>
      <c r="C3" s="5" t="s">
        <v>232</v>
      </c>
      <c r="D3" s="5"/>
      <c r="E3" s="5"/>
      <c r="F3" t="s">
        <v>206</v>
      </c>
      <c r="G3" t="s">
        <v>33</v>
      </c>
      <c r="H3" t="s">
        <v>195</v>
      </c>
      <c r="I3">
        <v>61500</v>
      </c>
      <c r="J3">
        <v>-6</v>
      </c>
      <c r="K3" t="s">
        <v>28</v>
      </c>
      <c r="L3" t="s">
        <v>35</v>
      </c>
      <c r="M3">
        <v>61500</v>
      </c>
      <c r="N3">
        <v>-6</v>
      </c>
    </row>
    <row r="4" spans="1:18" x14ac:dyDescent="0.35">
      <c r="A4" s="2">
        <v>45792</v>
      </c>
      <c r="B4" t="s">
        <v>86</v>
      </c>
      <c r="C4" s="5" t="s">
        <v>205</v>
      </c>
      <c r="D4" s="5"/>
      <c r="E4" s="5"/>
      <c r="F4" t="s">
        <v>206</v>
      </c>
      <c r="G4" t="s">
        <v>33</v>
      </c>
      <c r="H4" t="s">
        <v>195</v>
      </c>
      <c r="I4">
        <v>40000</v>
      </c>
      <c r="J4">
        <v>-6</v>
      </c>
      <c r="K4" t="s">
        <v>28</v>
      </c>
      <c r="L4" t="s">
        <v>35</v>
      </c>
      <c r="M4">
        <v>40000</v>
      </c>
      <c r="N4">
        <v>-6</v>
      </c>
    </row>
    <row r="5" spans="1:18" x14ac:dyDescent="0.35">
      <c r="A5" s="2">
        <v>45796</v>
      </c>
      <c r="B5" t="s">
        <v>86</v>
      </c>
      <c r="C5" s="5" t="s">
        <v>205</v>
      </c>
      <c r="D5" s="5"/>
      <c r="E5" s="5"/>
      <c r="F5" t="s">
        <v>206</v>
      </c>
      <c r="G5" t="s">
        <v>33</v>
      </c>
      <c r="H5" t="s">
        <v>195</v>
      </c>
      <c r="I5">
        <v>50000</v>
      </c>
      <c r="J5">
        <v>-6</v>
      </c>
      <c r="K5" t="s">
        <v>28</v>
      </c>
      <c r="L5" t="s">
        <v>35</v>
      </c>
      <c r="M5">
        <v>50000</v>
      </c>
      <c r="N5">
        <v>-6</v>
      </c>
    </row>
    <row r="6" spans="1:18" x14ac:dyDescent="0.35">
      <c r="A6" s="2">
        <v>45862</v>
      </c>
      <c r="B6" t="s">
        <v>86</v>
      </c>
      <c r="C6" s="5"/>
      <c r="D6" s="5"/>
      <c r="E6" s="5" t="s">
        <v>281</v>
      </c>
      <c r="F6" t="s">
        <v>198</v>
      </c>
      <c r="G6" t="s">
        <v>282</v>
      </c>
      <c r="H6" t="s">
        <v>283</v>
      </c>
      <c r="I6">
        <v>462200</v>
      </c>
      <c r="K6" t="s">
        <v>284</v>
      </c>
      <c r="L6" t="s">
        <v>285</v>
      </c>
      <c r="M6">
        <v>515000</v>
      </c>
    </row>
    <row r="7" spans="1:18" x14ac:dyDescent="0.35">
      <c r="A7" s="2">
        <v>45883</v>
      </c>
      <c r="B7" t="s">
        <v>86</v>
      </c>
      <c r="C7" s="5" t="s">
        <v>291</v>
      </c>
      <c r="D7" s="5"/>
      <c r="E7" s="5"/>
      <c r="F7" t="s">
        <v>240</v>
      </c>
      <c r="G7" t="s">
        <v>33</v>
      </c>
      <c r="H7" t="s">
        <v>118</v>
      </c>
      <c r="I7">
        <v>56000</v>
      </c>
      <c r="J7">
        <v>-6</v>
      </c>
      <c r="L7" t="s">
        <v>35</v>
      </c>
      <c r="M7">
        <v>56000</v>
      </c>
      <c r="N7">
        <v>-6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R59"/>
  <sheetViews>
    <sheetView topLeftCell="A10" workbookViewId="0">
      <selection activeCell="D25" sqref="D25"/>
    </sheetView>
  </sheetViews>
  <sheetFormatPr defaultRowHeight="14.5" x14ac:dyDescent="0.35"/>
  <cols>
    <col min="1" max="1" width="10.08984375" bestFit="1" customWidth="1"/>
    <col min="3" max="3" width="16.6328125" customWidth="1"/>
    <col min="6" max="6" width="18.1796875" customWidth="1"/>
  </cols>
  <sheetData>
    <row r="1" spans="1:18" ht="18.5" customHeight="1" x14ac:dyDescent="0.45">
      <c r="A1" s="1" t="s">
        <v>0</v>
      </c>
      <c r="B1" s="1" t="s">
        <v>1</v>
      </c>
      <c r="C1" s="1" t="s">
        <v>356</v>
      </c>
      <c r="D1" s="1" t="s">
        <v>5</v>
      </c>
      <c r="E1" s="1" t="s">
        <v>6</v>
      </c>
      <c r="F1" s="1" t="s">
        <v>357</v>
      </c>
      <c r="G1" s="1" t="s">
        <v>8</v>
      </c>
      <c r="H1" s="1" t="s">
        <v>9</v>
      </c>
      <c r="I1" s="1" t="s">
        <v>358</v>
      </c>
      <c r="J1" s="1" t="s">
        <v>15</v>
      </c>
      <c r="K1" s="1" t="s">
        <v>359</v>
      </c>
      <c r="L1" s="1"/>
    </row>
    <row r="2" spans="1:18" x14ac:dyDescent="0.35">
      <c r="A2" s="2">
        <v>45617</v>
      </c>
      <c r="B2" t="s">
        <v>145</v>
      </c>
      <c r="C2" s="5" t="s">
        <v>146</v>
      </c>
      <c r="D2" s="5"/>
      <c r="E2" s="5"/>
      <c r="F2" t="s">
        <v>56</v>
      </c>
      <c r="G2" t="s">
        <v>33</v>
      </c>
      <c r="H2" t="s">
        <v>147</v>
      </c>
      <c r="I2">
        <v>56000</v>
      </c>
      <c r="J2">
        <v>-6</v>
      </c>
      <c r="K2" t="s">
        <v>28</v>
      </c>
      <c r="L2" t="s">
        <v>53</v>
      </c>
      <c r="M2">
        <v>56500</v>
      </c>
      <c r="N2" t="s">
        <v>360</v>
      </c>
      <c r="P2" s="2"/>
      <c r="R2" s="2"/>
    </row>
    <row r="3" spans="1:18" x14ac:dyDescent="0.35">
      <c r="A3" s="2">
        <v>45621</v>
      </c>
      <c r="B3" t="s">
        <v>145</v>
      </c>
      <c r="C3" s="5" t="s">
        <v>148</v>
      </c>
      <c r="D3" s="5"/>
      <c r="E3" s="5"/>
      <c r="F3" t="s">
        <v>56</v>
      </c>
      <c r="G3" t="s">
        <v>33</v>
      </c>
      <c r="H3" t="s">
        <v>28</v>
      </c>
      <c r="I3">
        <v>56000</v>
      </c>
      <c r="J3">
        <v>-6</v>
      </c>
      <c r="K3" t="s">
        <v>28</v>
      </c>
      <c r="L3" t="s">
        <v>53</v>
      </c>
      <c r="M3">
        <v>56000</v>
      </c>
      <c r="N3" t="s">
        <v>360</v>
      </c>
      <c r="P3" s="2"/>
      <c r="R3" s="2"/>
    </row>
    <row r="4" spans="1:18" x14ac:dyDescent="0.35">
      <c r="A4" s="2">
        <v>45625</v>
      </c>
      <c r="B4" t="s">
        <v>145</v>
      </c>
      <c r="C4" s="5"/>
      <c r="D4" s="5"/>
      <c r="E4" s="5"/>
      <c r="F4" t="s">
        <v>152</v>
      </c>
      <c r="G4" t="s">
        <v>33</v>
      </c>
      <c r="H4" t="s">
        <v>153</v>
      </c>
      <c r="I4">
        <v>55500</v>
      </c>
      <c r="J4">
        <v>-6</v>
      </c>
      <c r="K4" t="s">
        <v>28</v>
      </c>
      <c r="L4" t="s">
        <v>53</v>
      </c>
      <c r="M4">
        <v>55900</v>
      </c>
      <c r="N4" t="s">
        <v>360</v>
      </c>
      <c r="P4" s="2"/>
      <c r="R4" s="2"/>
    </row>
    <row r="5" spans="1:18" x14ac:dyDescent="0.35">
      <c r="A5" s="2">
        <v>45644</v>
      </c>
      <c r="B5" t="s">
        <v>145</v>
      </c>
      <c r="C5" s="5" t="s">
        <v>146</v>
      </c>
      <c r="D5" s="5"/>
      <c r="E5" s="5"/>
      <c r="F5" t="s">
        <v>32</v>
      </c>
      <c r="G5" t="s">
        <v>33</v>
      </c>
      <c r="H5" t="s">
        <v>161</v>
      </c>
      <c r="I5">
        <v>59000</v>
      </c>
      <c r="J5">
        <v>-6</v>
      </c>
      <c r="K5" t="s">
        <v>28</v>
      </c>
      <c r="L5" t="s">
        <v>35</v>
      </c>
      <c r="M5">
        <v>59000</v>
      </c>
    </row>
    <row r="6" spans="1:18" x14ac:dyDescent="0.35">
      <c r="A6" s="2">
        <v>45658</v>
      </c>
      <c r="B6" t="s">
        <v>145</v>
      </c>
      <c r="C6" s="5" t="s">
        <v>162</v>
      </c>
      <c r="D6" s="5"/>
      <c r="E6" s="5"/>
      <c r="F6" t="s">
        <v>56</v>
      </c>
      <c r="G6" t="s">
        <v>33</v>
      </c>
      <c r="H6" t="s">
        <v>147</v>
      </c>
      <c r="I6">
        <v>35000</v>
      </c>
      <c r="J6">
        <v>-6</v>
      </c>
      <c r="K6" t="s">
        <v>28</v>
      </c>
      <c r="L6" t="s">
        <v>53</v>
      </c>
      <c r="M6">
        <v>36500</v>
      </c>
      <c r="N6">
        <v>-6</v>
      </c>
    </row>
    <row r="7" spans="1:18" x14ac:dyDescent="0.35">
      <c r="A7" s="2">
        <v>45658</v>
      </c>
      <c r="B7" t="s">
        <v>145</v>
      </c>
      <c r="C7" s="5" t="s">
        <v>163</v>
      </c>
      <c r="D7" s="5"/>
      <c r="E7" s="5"/>
      <c r="F7" t="s">
        <v>56</v>
      </c>
      <c r="G7" t="s">
        <v>33</v>
      </c>
      <c r="H7" t="s">
        <v>147</v>
      </c>
      <c r="I7">
        <v>44000</v>
      </c>
      <c r="J7">
        <v>-6</v>
      </c>
      <c r="K7" t="s">
        <v>28</v>
      </c>
      <c r="L7" t="s">
        <v>53</v>
      </c>
      <c r="M7">
        <v>45000</v>
      </c>
      <c r="N7">
        <v>-6</v>
      </c>
    </row>
    <row r="8" spans="1:18" x14ac:dyDescent="0.35">
      <c r="A8" s="2">
        <v>45658</v>
      </c>
      <c r="B8" t="s">
        <v>145</v>
      </c>
      <c r="C8" s="5" t="s">
        <v>146</v>
      </c>
      <c r="D8" s="5"/>
      <c r="E8" s="5"/>
      <c r="F8" t="s">
        <v>56</v>
      </c>
      <c r="G8" t="s">
        <v>33</v>
      </c>
      <c r="H8" t="s">
        <v>147</v>
      </c>
      <c r="I8">
        <v>51000</v>
      </c>
      <c r="J8">
        <v>-6</v>
      </c>
      <c r="K8" t="s">
        <v>28</v>
      </c>
      <c r="L8" t="s">
        <v>53</v>
      </c>
      <c r="M8">
        <v>52500</v>
      </c>
      <c r="N8">
        <v>-6</v>
      </c>
    </row>
    <row r="9" spans="1:18" x14ac:dyDescent="0.35">
      <c r="A9" s="2">
        <v>45658</v>
      </c>
      <c r="B9" t="s">
        <v>145</v>
      </c>
      <c r="C9" s="5" t="s">
        <v>164</v>
      </c>
      <c r="D9" s="5"/>
      <c r="E9" s="5"/>
      <c r="F9" t="s">
        <v>56</v>
      </c>
      <c r="G9" t="s">
        <v>33</v>
      </c>
      <c r="H9" t="s">
        <v>165</v>
      </c>
      <c r="I9">
        <v>51000</v>
      </c>
      <c r="J9">
        <v>-6</v>
      </c>
      <c r="L9" t="s">
        <v>53</v>
      </c>
      <c r="M9">
        <v>52500</v>
      </c>
      <c r="N9">
        <v>-6</v>
      </c>
    </row>
    <row r="10" spans="1:18" x14ac:dyDescent="0.35">
      <c r="A10" s="2">
        <v>45658</v>
      </c>
      <c r="B10" t="s">
        <v>145</v>
      </c>
      <c r="C10" s="5" t="s">
        <v>166</v>
      </c>
      <c r="D10" s="5"/>
      <c r="E10" s="5"/>
      <c r="F10" t="s">
        <v>56</v>
      </c>
      <c r="G10" t="s">
        <v>33</v>
      </c>
      <c r="H10" t="s">
        <v>161</v>
      </c>
      <c r="I10">
        <v>51000</v>
      </c>
      <c r="J10">
        <v>-6</v>
      </c>
      <c r="K10" t="s">
        <v>28</v>
      </c>
      <c r="L10" t="s">
        <v>53</v>
      </c>
      <c r="M10">
        <v>52500</v>
      </c>
      <c r="N10">
        <v>-6</v>
      </c>
    </row>
    <row r="11" spans="1:18" x14ac:dyDescent="0.35">
      <c r="A11" s="2">
        <v>45658</v>
      </c>
      <c r="B11" t="s">
        <v>145</v>
      </c>
      <c r="C11" s="5" t="s">
        <v>167</v>
      </c>
      <c r="D11" s="5"/>
      <c r="E11" s="5"/>
      <c r="F11" t="s">
        <v>56</v>
      </c>
      <c r="G11" t="s">
        <v>33</v>
      </c>
      <c r="H11" t="s">
        <v>168</v>
      </c>
      <c r="I11">
        <v>51000</v>
      </c>
      <c r="J11">
        <v>-6</v>
      </c>
      <c r="L11" t="s">
        <v>53</v>
      </c>
      <c r="M11">
        <v>52500</v>
      </c>
      <c r="N11">
        <v>-6</v>
      </c>
    </row>
    <row r="12" spans="1:18" x14ac:dyDescent="0.35">
      <c r="A12" s="2">
        <v>45667</v>
      </c>
      <c r="B12" t="s">
        <v>145</v>
      </c>
      <c r="C12" s="5" t="s">
        <v>169</v>
      </c>
      <c r="D12" s="5"/>
      <c r="E12" s="5"/>
      <c r="F12" t="s">
        <v>32</v>
      </c>
      <c r="G12" t="s">
        <v>33</v>
      </c>
      <c r="H12" t="s">
        <v>161</v>
      </c>
      <c r="I12">
        <v>59500</v>
      </c>
      <c r="J12">
        <v>-6</v>
      </c>
      <c r="K12" t="s">
        <v>28</v>
      </c>
      <c r="L12" t="s">
        <v>35</v>
      </c>
      <c r="M12">
        <v>59500</v>
      </c>
    </row>
    <row r="13" spans="1:18" x14ac:dyDescent="0.35">
      <c r="A13" s="2">
        <v>45667</v>
      </c>
      <c r="B13" t="s">
        <v>145</v>
      </c>
      <c r="C13" s="5" t="s">
        <v>146</v>
      </c>
      <c r="D13" s="5"/>
      <c r="E13" s="5"/>
      <c r="F13" t="s">
        <v>56</v>
      </c>
      <c r="G13" t="s">
        <v>33</v>
      </c>
      <c r="H13" t="s">
        <v>161</v>
      </c>
      <c r="I13">
        <v>51000</v>
      </c>
      <c r="J13">
        <v>-6</v>
      </c>
      <c r="K13" t="s">
        <v>28</v>
      </c>
      <c r="L13" t="s">
        <v>53</v>
      </c>
      <c r="M13">
        <v>52000</v>
      </c>
      <c r="N13" t="s">
        <v>360</v>
      </c>
    </row>
    <row r="14" spans="1:18" x14ac:dyDescent="0.35">
      <c r="A14" s="2">
        <v>45687</v>
      </c>
      <c r="B14" t="s">
        <v>145</v>
      </c>
      <c r="C14" s="5" t="s">
        <v>188</v>
      </c>
      <c r="D14" s="5"/>
      <c r="E14" s="5"/>
      <c r="F14" t="s">
        <v>56</v>
      </c>
      <c r="G14" t="s">
        <v>33</v>
      </c>
      <c r="H14" t="s">
        <v>189</v>
      </c>
      <c r="I14">
        <v>51000</v>
      </c>
      <c r="J14">
        <v>-6</v>
      </c>
      <c r="K14" t="s">
        <v>28</v>
      </c>
      <c r="L14" t="s">
        <v>53</v>
      </c>
      <c r="M14">
        <v>53000</v>
      </c>
      <c r="N14">
        <v>-6</v>
      </c>
    </row>
    <row r="15" spans="1:18" x14ac:dyDescent="0.35">
      <c r="A15" s="2">
        <v>45691</v>
      </c>
      <c r="B15" t="s">
        <v>145</v>
      </c>
      <c r="C15" s="5" t="s">
        <v>146</v>
      </c>
      <c r="D15" s="5"/>
      <c r="E15" s="5"/>
      <c r="F15" t="s">
        <v>32</v>
      </c>
      <c r="G15" t="s">
        <v>33</v>
      </c>
      <c r="H15" t="s">
        <v>106</v>
      </c>
      <c r="I15">
        <v>59900</v>
      </c>
      <c r="J15">
        <v>-6</v>
      </c>
      <c r="K15" t="s">
        <v>65</v>
      </c>
      <c r="L15" t="s">
        <v>35</v>
      </c>
      <c r="M15">
        <v>59900</v>
      </c>
    </row>
    <row r="16" spans="1:18" x14ac:dyDescent="0.35">
      <c r="A16" s="2">
        <v>45726</v>
      </c>
      <c r="B16" t="s">
        <v>145</v>
      </c>
      <c r="C16" s="5" t="s">
        <v>220</v>
      </c>
      <c r="D16" s="5"/>
      <c r="E16" s="5"/>
      <c r="F16" t="s">
        <v>206</v>
      </c>
      <c r="G16" t="s">
        <v>33</v>
      </c>
      <c r="H16" t="s">
        <v>221</v>
      </c>
      <c r="I16">
        <v>56000</v>
      </c>
      <c r="J16">
        <v>-6</v>
      </c>
      <c r="K16" t="s">
        <v>65</v>
      </c>
      <c r="L16" t="s">
        <v>35</v>
      </c>
      <c r="M16">
        <v>56000</v>
      </c>
    </row>
    <row r="17" spans="1:14" x14ac:dyDescent="0.35">
      <c r="A17" s="2">
        <v>45726</v>
      </c>
      <c r="B17" t="s">
        <v>145</v>
      </c>
      <c r="C17" s="5" t="s">
        <v>220</v>
      </c>
      <c r="D17" s="5"/>
      <c r="E17" s="5"/>
      <c r="F17" t="s">
        <v>206</v>
      </c>
      <c r="G17" t="s">
        <v>33</v>
      </c>
      <c r="H17" t="s">
        <v>189</v>
      </c>
      <c r="I17">
        <v>56000</v>
      </c>
      <c r="J17">
        <v>-6</v>
      </c>
      <c r="K17" t="s">
        <v>28</v>
      </c>
      <c r="L17" t="s">
        <v>35</v>
      </c>
      <c r="M17">
        <v>56000</v>
      </c>
    </row>
    <row r="18" spans="1:14" x14ac:dyDescent="0.35">
      <c r="A18" s="2">
        <v>45726</v>
      </c>
      <c r="B18" t="s">
        <v>145</v>
      </c>
      <c r="C18" s="5" t="s">
        <v>220</v>
      </c>
      <c r="D18" s="5"/>
      <c r="E18" s="5"/>
      <c r="F18" t="s">
        <v>206</v>
      </c>
      <c r="G18" t="s">
        <v>33</v>
      </c>
      <c r="H18" t="s">
        <v>161</v>
      </c>
      <c r="I18">
        <v>57500</v>
      </c>
      <c r="J18">
        <v>-6</v>
      </c>
      <c r="K18" t="s">
        <v>28</v>
      </c>
      <c r="L18" t="s">
        <v>35</v>
      </c>
      <c r="M18">
        <v>57500</v>
      </c>
    </row>
    <row r="19" spans="1:14" x14ac:dyDescent="0.35">
      <c r="A19" s="2">
        <v>45726</v>
      </c>
      <c r="B19" t="s">
        <v>145</v>
      </c>
      <c r="C19" s="5" t="s">
        <v>220</v>
      </c>
      <c r="D19" s="5"/>
      <c r="E19" s="5"/>
      <c r="F19" t="s">
        <v>206</v>
      </c>
      <c r="G19" t="s">
        <v>33</v>
      </c>
      <c r="H19" t="s">
        <v>65</v>
      </c>
      <c r="I19">
        <v>55500</v>
      </c>
      <c r="J19">
        <v>-6</v>
      </c>
      <c r="K19" t="s">
        <v>65</v>
      </c>
      <c r="L19" t="s">
        <v>35</v>
      </c>
      <c r="M19">
        <v>55500</v>
      </c>
    </row>
    <row r="20" spans="1:14" x14ac:dyDescent="0.35">
      <c r="A20" s="2">
        <v>45726</v>
      </c>
      <c r="B20" t="s">
        <v>145</v>
      </c>
      <c r="C20" s="5" t="s">
        <v>220</v>
      </c>
      <c r="D20" s="5"/>
      <c r="E20" s="5"/>
      <c r="F20" t="s">
        <v>206</v>
      </c>
      <c r="G20" t="s">
        <v>33</v>
      </c>
      <c r="H20" t="s">
        <v>27</v>
      </c>
      <c r="I20">
        <v>58000</v>
      </c>
      <c r="J20">
        <v>-6</v>
      </c>
      <c r="K20" t="s">
        <v>28</v>
      </c>
      <c r="L20" t="s">
        <v>35</v>
      </c>
      <c r="M20">
        <v>58000</v>
      </c>
    </row>
    <row r="21" spans="1:14" x14ac:dyDescent="0.35">
      <c r="A21" s="2">
        <v>45729</v>
      </c>
      <c r="B21" t="s">
        <v>145</v>
      </c>
      <c r="C21" s="5" t="s">
        <v>220</v>
      </c>
      <c r="D21" s="5"/>
      <c r="E21" s="5"/>
      <c r="F21" t="s">
        <v>56</v>
      </c>
      <c r="G21" t="s">
        <v>33</v>
      </c>
      <c r="H21" t="s">
        <v>189</v>
      </c>
      <c r="I21">
        <v>51500</v>
      </c>
      <c r="J21">
        <v>-6</v>
      </c>
      <c r="K21" t="s">
        <v>28</v>
      </c>
      <c r="L21" t="s">
        <v>53</v>
      </c>
      <c r="M21">
        <v>52500</v>
      </c>
      <c r="N21">
        <v>-6</v>
      </c>
    </row>
    <row r="22" spans="1:14" x14ac:dyDescent="0.35">
      <c r="A22" s="2">
        <v>45741</v>
      </c>
      <c r="B22" t="s">
        <v>145</v>
      </c>
      <c r="C22" s="5" t="s">
        <v>220</v>
      </c>
      <c r="D22" s="5"/>
      <c r="E22" s="5"/>
      <c r="F22" t="s">
        <v>206</v>
      </c>
      <c r="G22" t="s">
        <v>33</v>
      </c>
      <c r="H22" t="s">
        <v>65</v>
      </c>
      <c r="I22">
        <v>55000</v>
      </c>
      <c r="J22">
        <v>-6</v>
      </c>
      <c r="K22" t="s">
        <v>65</v>
      </c>
      <c r="L22" t="s">
        <v>35</v>
      </c>
      <c r="M22">
        <v>55000</v>
      </c>
      <c r="N22">
        <v>-6</v>
      </c>
    </row>
    <row r="23" spans="1:14" x14ac:dyDescent="0.35">
      <c r="A23" s="2">
        <v>45741</v>
      </c>
      <c r="B23" t="s">
        <v>145</v>
      </c>
      <c r="C23" s="5" t="s">
        <v>220</v>
      </c>
      <c r="D23" s="5"/>
      <c r="E23" s="5"/>
      <c r="F23" t="s">
        <v>206</v>
      </c>
      <c r="G23" t="s">
        <v>33</v>
      </c>
      <c r="H23" t="s">
        <v>189</v>
      </c>
      <c r="I23">
        <v>57000</v>
      </c>
      <c r="J23">
        <v>-6</v>
      </c>
      <c r="K23" t="s">
        <v>28</v>
      </c>
      <c r="L23" t="s">
        <v>35</v>
      </c>
      <c r="M23">
        <v>55000</v>
      </c>
      <c r="N23">
        <v>-6</v>
      </c>
    </row>
    <row r="24" spans="1:14" x14ac:dyDescent="0.35">
      <c r="A24" s="2">
        <v>45777</v>
      </c>
      <c r="B24" t="s">
        <v>145</v>
      </c>
      <c r="C24" s="5" t="s">
        <v>220</v>
      </c>
      <c r="D24" s="5"/>
      <c r="E24" s="5"/>
      <c r="F24" t="s">
        <v>206</v>
      </c>
      <c r="G24" t="s">
        <v>33</v>
      </c>
      <c r="H24" t="s">
        <v>241</v>
      </c>
      <c r="I24">
        <v>56000</v>
      </c>
      <c r="J24">
        <v>-6</v>
      </c>
      <c r="K24" t="s">
        <v>65</v>
      </c>
      <c r="L24" t="s">
        <v>35</v>
      </c>
      <c r="M24">
        <v>56000</v>
      </c>
      <c r="N24">
        <v>-6</v>
      </c>
    </row>
    <row r="25" spans="1:14" x14ac:dyDescent="0.35">
      <c r="A25" s="2">
        <v>45777</v>
      </c>
      <c r="B25" t="s">
        <v>145</v>
      </c>
      <c r="C25" s="5" t="s">
        <v>220</v>
      </c>
      <c r="D25" s="5"/>
      <c r="E25" s="5"/>
      <c r="F25" t="s">
        <v>206</v>
      </c>
      <c r="G25" t="s">
        <v>33</v>
      </c>
      <c r="H25" t="s">
        <v>189</v>
      </c>
      <c r="I25">
        <v>55500</v>
      </c>
      <c r="J25">
        <v>-6</v>
      </c>
      <c r="K25" t="s">
        <v>28</v>
      </c>
      <c r="L25" t="s">
        <v>35</v>
      </c>
      <c r="M25">
        <v>55500</v>
      </c>
      <c r="N25">
        <v>-6</v>
      </c>
    </row>
    <row r="26" spans="1:14" x14ac:dyDescent="0.35">
      <c r="A26" s="2">
        <v>45777</v>
      </c>
      <c r="B26" t="s">
        <v>145</v>
      </c>
      <c r="C26" s="5" t="s">
        <v>220</v>
      </c>
      <c r="D26" s="5"/>
      <c r="E26" s="5"/>
      <c r="F26" t="s">
        <v>206</v>
      </c>
      <c r="G26" t="s">
        <v>33</v>
      </c>
      <c r="H26" t="s">
        <v>189</v>
      </c>
      <c r="I26">
        <v>50500</v>
      </c>
      <c r="J26">
        <v>-6</v>
      </c>
      <c r="K26" t="s">
        <v>28</v>
      </c>
      <c r="L26" t="s">
        <v>35</v>
      </c>
      <c r="M26">
        <v>50500</v>
      </c>
      <c r="N26">
        <v>-6</v>
      </c>
    </row>
    <row r="27" spans="1:14" x14ac:dyDescent="0.35">
      <c r="A27" s="2">
        <v>45777</v>
      </c>
      <c r="B27" t="s">
        <v>145</v>
      </c>
      <c r="C27" s="5" t="s">
        <v>220</v>
      </c>
      <c r="D27" s="5"/>
      <c r="E27" s="5"/>
      <c r="F27" t="s">
        <v>206</v>
      </c>
      <c r="G27" t="s">
        <v>33</v>
      </c>
      <c r="H27" t="s">
        <v>106</v>
      </c>
      <c r="I27">
        <v>56000</v>
      </c>
      <c r="J27">
        <v>-6</v>
      </c>
      <c r="K27" t="s">
        <v>65</v>
      </c>
      <c r="L27" t="s">
        <v>35</v>
      </c>
      <c r="M27">
        <v>56000</v>
      </c>
      <c r="N27">
        <v>-6</v>
      </c>
    </row>
    <row r="28" spans="1:14" x14ac:dyDescent="0.35">
      <c r="A28" s="2">
        <v>45838</v>
      </c>
      <c r="B28" t="s">
        <v>145</v>
      </c>
      <c r="C28" s="5" t="s">
        <v>220</v>
      </c>
      <c r="D28" s="5"/>
      <c r="E28" s="5"/>
      <c r="F28" t="s">
        <v>206</v>
      </c>
      <c r="G28" t="s">
        <v>33</v>
      </c>
      <c r="H28" t="s">
        <v>161</v>
      </c>
      <c r="I28">
        <v>56000</v>
      </c>
      <c r="J28">
        <v>-6</v>
      </c>
      <c r="K28" t="s">
        <v>28</v>
      </c>
      <c r="L28" t="s">
        <v>35</v>
      </c>
      <c r="M28">
        <v>56000</v>
      </c>
      <c r="N28">
        <v>-6</v>
      </c>
    </row>
    <row r="29" spans="1:14" x14ac:dyDescent="0.35">
      <c r="A29" s="2">
        <v>45796</v>
      </c>
      <c r="B29" t="s">
        <v>145</v>
      </c>
      <c r="C29" s="5" t="s">
        <v>245</v>
      </c>
      <c r="D29" s="5"/>
      <c r="E29" s="5"/>
      <c r="F29" t="s">
        <v>206</v>
      </c>
      <c r="G29" t="s">
        <v>33</v>
      </c>
      <c r="H29" t="s">
        <v>241</v>
      </c>
      <c r="I29">
        <v>74000</v>
      </c>
      <c r="J29">
        <v>-6</v>
      </c>
      <c r="K29" t="s">
        <v>65</v>
      </c>
      <c r="L29" t="s">
        <v>35</v>
      </c>
      <c r="M29">
        <v>74000</v>
      </c>
      <c r="N29">
        <v>-6</v>
      </c>
    </row>
    <row r="30" spans="1:14" x14ac:dyDescent="0.35">
      <c r="A30" s="2">
        <v>45796</v>
      </c>
      <c r="B30" t="s">
        <v>145</v>
      </c>
      <c r="C30" s="5" t="s">
        <v>220</v>
      </c>
      <c r="D30" s="5"/>
      <c r="E30" s="5"/>
      <c r="F30" t="s">
        <v>206</v>
      </c>
      <c r="G30" t="s">
        <v>33</v>
      </c>
      <c r="H30" t="s">
        <v>246</v>
      </c>
      <c r="I30">
        <v>54000</v>
      </c>
      <c r="J30">
        <v>-6</v>
      </c>
      <c r="K30" t="s">
        <v>65</v>
      </c>
      <c r="L30" t="s">
        <v>35</v>
      </c>
      <c r="M30">
        <v>54000</v>
      </c>
      <c r="N30">
        <v>-6</v>
      </c>
    </row>
    <row r="31" spans="1:14" x14ac:dyDescent="0.35">
      <c r="A31" s="2">
        <v>45847</v>
      </c>
      <c r="B31" t="s">
        <v>145</v>
      </c>
      <c r="C31" s="5" t="s">
        <v>259</v>
      </c>
      <c r="D31" s="5"/>
      <c r="E31" s="5"/>
      <c r="F31" t="s">
        <v>206</v>
      </c>
      <c r="G31" t="s">
        <v>33</v>
      </c>
      <c r="H31" t="s">
        <v>260</v>
      </c>
      <c r="I31">
        <v>36500</v>
      </c>
      <c r="J31">
        <v>-6</v>
      </c>
      <c r="L31" t="s">
        <v>35</v>
      </c>
      <c r="M31">
        <v>36500</v>
      </c>
      <c r="N31">
        <v>-6</v>
      </c>
    </row>
    <row r="32" spans="1:14" x14ac:dyDescent="0.35">
      <c r="A32" s="2">
        <v>45848</v>
      </c>
      <c r="B32" t="s">
        <v>145</v>
      </c>
      <c r="C32" s="5" t="s">
        <v>263</v>
      </c>
      <c r="D32" s="5"/>
      <c r="E32" s="5"/>
      <c r="F32" t="s">
        <v>206</v>
      </c>
      <c r="G32" t="s">
        <v>33</v>
      </c>
      <c r="H32" t="s">
        <v>261</v>
      </c>
      <c r="I32">
        <v>46500</v>
      </c>
      <c r="J32">
        <v>-6</v>
      </c>
      <c r="L32" t="s">
        <v>35</v>
      </c>
      <c r="M32">
        <v>46500</v>
      </c>
      <c r="N32">
        <v>-6</v>
      </c>
    </row>
    <row r="33" spans="1:14" x14ac:dyDescent="0.35">
      <c r="A33" s="2">
        <v>45848</v>
      </c>
      <c r="B33" t="s">
        <v>145</v>
      </c>
      <c r="C33" s="5" t="s">
        <v>264</v>
      </c>
      <c r="D33" s="5"/>
      <c r="E33" s="5"/>
      <c r="F33" t="s">
        <v>206</v>
      </c>
      <c r="G33" t="s">
        <v>33</v>
      </c>
      <c r="H33" t="s">
        <v>207</v>
      </c>
      <c r="I33">
        <v>46000</v>
      </c>
      <c r="J33">
        <v>-6</v>
      </c>
      <c r="L33" t="s">
        <v>35</v>
      </c>
      <c r="M33">
        <v>46000</v>
      </c>
      <c r="N33">
        <v>-6</v>
      </c>
    </row>
    <row r="34" spans="1:14" x14ac:dyDescent="0.35">
      <c r="A34" s="2">
        <v>45848</v>
      </c>
      <c r="B34" t="s">
        <v>145</v>
      </c>
      <c r="C34" s="5" t="s">
        <v>265</v>
      </c>
      <c r="D34" s="5"/>
      <c r="E34" s="5"/>
      <c r="F34" t="s">
        <v>206</v>
      </c>
      <c r="G34" t="s">
        <v>33</v>
      </c>
      <c r="H34" t="s">
        <v>262</v>
      </c>
      <c r="I34">
        <v>46000</v>
      </c>
      <c r="J34">
        <v>-6</v>
      </c>
      <c r="L34" t="s">
        <v>35</v>
      </c>
      <c r="M34">
        <v>46000</v>
      </c>
      <c r="N34">
        <v>-6</v>
      </c>
    </row>
    <row r="35" spans="1:14" x14ac:dyDescent="0.35">
      <c r="A35" s="2">
        <v>45848</v>
      </c>
      <c r="B35" t="s">
        <v>145</v>
      </c>
      <c r="C35" s="5" t="s">
        <v>266</v>
      </c>
      <c r="D35" s="5"/>
      <c r="E35" s="5"/>
      <c r="F35" t="s">
        <v>206</v>
      </c>
      <c r="G35" t="s">
        <v>33</v>
      </c>
      <c r="H35" t="s">
        <v>189</v>
      </c>
      <c r="I35">
        <v>46000</v>
      </c>
      <c r="J35">
        <v>-6</v>
      </c>
      <c r="K35" t="s">
        <v>28</v>
      </c>
      <c r="L35" t="s">
        <v>35</v>
      </c>
      <c r="M35">
        <v>46000</v>
      </c>
      <c r="N35">
        <v>-6</v>
      </c>
    </row>
    <row r="36" spans="1:14" x14ac:dyDescent="0.35">
      <c r="A36" s="2">
        <v>45848</v>
      </c>
      <c r="B36" t="s">
        <v>145</v>
      </c>
      <c r="C36" s="5" t="s">
        <v>267</v>
      </c>
      <c r="D36" s="5"/>
      <c r="E36" s="5"/>
      <c r="F36" t="s">
        <v>206</v>
      </c>
      <c r="G36" t="s">
        <v>33</v>
      </c>
      <c r="H36" t="s">
        <v>268</v>
      </c>
      <c r="I36">
        <v>46500</v>
      </c>
      <c r="J36">
        <v>-6</v>
      </c>
      <c r="L36" t="s">
        <v>35</v>
      </c>
      <c r="M36">
        <v>46500</v>
      </c>
      <c r="N36">
        <v>-6</v>
      </c>
    </row>
    <row r="37" spans="1:14" x14ac:dyDescent="0.35">
      <c r="A37" s="2">
        <v>45860</v>
      </c>
      <c r="B37" t="s">
        <v>145</v>
      </c>
      <c r="C37" s="5" t="s">
        <v>273</v>
      </c>
      <c r="D37" s="5"/>
      <c r="E37" s="5"/>
      <c r="F37" t="s">
        <v>206</v>
      </c>
      <c r="G37" t="s">
        <v>33</v>
      </c>
      <c r="H37" t="s">
        <v>180</v>
      </c>
      <c r="I37">
        <v>38000</v>
      </c>
      <c r="J37">
        <v>-6</v>
      </c>
      <c r="K37" t="s">
        <v>65</v>
      </c>
      <c r="L37" t="s">
        <v>35</v>
      </c>
      <c r="M37">
        <v>38000</v>
      </c>
      <c r="N37">
        <v>-6</v>
      </c>
    </row>
    <row r="38" spans="1:14" x14ac:dyDescent="0.35">
      <c r="A38" s="2">
        <v>45860</v>
      </c>
      <c r="B38" t="s">
        <v>145</v>
      </c>
      <c r="C38" s="5" t="s">
        <v>274</v>
      </c>
      <c r="D38" s="5"/>
      <c r="E38" s="5"/>
      <c r="F38" t="s">
        <v>206</v>
      </c>
      <c r="G38" t="s">
        <v>33</v>
      </c>
      <c r="H38" t="s">
        <v>65</v>
      </c>
      <c r="I38">
        <v>38000</v>
      </c>
      <c r="J38">
        <v>-6</v>
      </c>
      <c r="K38" t="s">
        <v>65</v>
      </c>
      <c r="L38" t="s">
        <v>35</v>
      </c>
      <c r="M38">
        <v>38000</v>
      </c>
      <c r="N38">
        <v>-6</v>
      </c>
    </row>
    <row r="39" spans="1:14" x14ac:dyDescent="0.35">
      <c r="A39" s="2">
        <v>45860</v>
      </c>
      <c r="B39" t="s">
        <v>145</v>
      </c>
      <c r="C39" s="5" t="s">
        <v>276</v>
      </c>
      <c r="D39" s="5"/>
      <c r="E39" s="5"/>
      <c r="F39" t="s">
        <v>240</v>
      </c>
      <c r="G39" t="s">
        <v>33</v>
      </c>
      <c r="H39" t="s">
        <v>277</v>
      </c>
      <c r="I39">
        <v>38250</v>
      </c>
      <c r="J39">
        <v>-6</v>
      </c>
      <c r="L39" t="s">
        <v>35</v>
      </c>
      <c r="M39">
        <v>38250</v>
      </c>
      <c r="N39">
        <v>-6</v>
      </c>
    </row>
    <row r="40" spans="1:14" x14ac:dyDescent="0.35">
      <c r="A40" s="2">
        <v>45916</v>
      </c>
      <c r="B40" t="s">
        <v>145</v>
      </c>
      <c r="C40" s="5" t="s">
        <v>306</v>
      </c>
      <c r="D40" s="5"/>
      <c r="E40" s="5"/>
      <c r="F40" t="s">
        <v>56</v>
      </c>
      <c r="G40" t="s">
        <v>50</v>
      </c>
      <c r="H40" t="s">
        <v>189</v>
      </c>
      <c r="I40">
        <v>43000</v>
      </c>
      <c r="J40">
        <v>-6</v>
      </c>
      <c r="K40" t="s">
        <v>28</v>
      </c>
      <c r="L40" t="s">
        <v>53</v>
      </c>
      <c r="M40">
        <v>44000</v>
      </c>
      <c r="N40">
        <v>120</v>
      </c>
    </row>
    <row r="41" spans="1:14" x14ac:dyDescent="0.35">
      <c r="A41" s="2">
        <v>45916</v>
      </c>
      <c r="B41" t="s">
        <v>145</v>
      </c>
      <c r="C41" s="5" t="s">
        <v>306</v>
      </c>
      <c r="D41" s="5"/>
      <c r="E41" s="5"/>
      <c r="F41" t="s">
        <v>56</v>
      </c>
      <c r="G41" t="s">
        <v>50</v>
      </c>
      <c r="H41" t="s">
        <v>65</v>
      </c>
      <c r="I41">
        <v>42000</v>
      </c>
      <c r="J41">
        <v>-6</v>
      </c>
      <c r="K41" t="s">
        <v>65</v>
      </c>
      <c r="L41" t="s">
        <v>53</v>
      </c>
      <c r="M41">
        <v>44000</v>
      </c>
      <c r="N41">
        <v>120</v>
      </c>
    </row>
    <row r="42" spans="1:14" x14ac:dyDescent="0.35">
      <c r="A42" s="2">
        <v>45918</v>
      </c>
      <c r="B42" t="s">
        <v>145</v>
      </c>
      <c r="C42" s="5" t="s">
        <v>306</v>
      </c>
      <c r="D42" s="5"/>
      <c r="E42" s="5"/>
      <c r="F42" t="s">
        <v>56</v>
      </c>
      <c r="G42" t="s">
        <v>50</v>
      </c>
      <c r="H42" t="s">
        <v>65</v>
      </c>
      <c r="I42">
        <v>42100</v>
      </c>
      <c r="J42">
        <v>-6</v>
      </c>
      <c r="K42" t="s">
        <v>65</v>
      </c>
      <c r="L42" t="s">
        <v>53</v>
      </c>
      <c r="M42">
        <v>44000</v>
      </c>
      <c r="N42">
        <v>120</v>
      </c>
    </row>
    <row r="43" spans="1:14" x14ac:dyDescent="0.35">
      <c r="A43" s="2">
        <v>45924</v>
      </c>
      <c r="B43" t="s">
        <v>145</v>
      </c>
      <c r="C43" s="5" t="s">
        <v>306</v>
      </c>
      <c r="D43" s="5"/>
      <c r="E43" s="5"/>
      <c r="F43" t="s">
        <v>56</v>
      </c>
      <c r="G43" t="s">
        <v>50</v>
      </c>
      <c r="H43" t="s">
        <v>307</v>
      </c>
      <c r="I43">
        <v>43200</v>
      </c>
      <c r="J43">
        <v>-6</v>
      </c>
      <c r="K43" t="s">
        <v>28</v>
      </c>
      <c r="L43" t="s">
        <v>53</v>
      </c>
      <c r="M43">
        <v>44200</v>
      </c>
      <c r="N43">
        <v>120</v>
      </c>
    </row>
    <row r="44" spans="1:14" x14ac:dyDescent="0.35">
      <c r="A44" s="2">
        <v>45926</v>
      </c>
      <c r="B44" t="s">
        <v>145</v>
      </c>
      <c r="C44" s="5" t="s">
        <v>203</v>
      </c>
      <c r="D44" s="5"/>
      <c r="E44" s="5"/>
      <c r="F44" t="s">
        <v>56</v>
      </c>
      <c r="G44" t="s">
        <v>33</v>
      </c>
      <c r="H44" t="s">
        <v>161</v>
      </c>
      <c r="I44">
        <v>51000</v>
      </c>
      <c r="J44">
        <v>-6</v>
      </c>
      <c r="K44" t="s">
        <v>28</v>
      </c>
      <c r="L44" t="s">
        <v>53</v>
      </c>
      <c r="M44">
        <v>53000</v>
      </c>
      <c r="N44">
        <v>120</v>
      </c>
    </row>
    <row r="45" spans="1:14" x14ac:dyDescent="0.35">
      <c r="A45" s="2">
        <v>45927</v>
      </c>
      <c r="B45" t="s">
        <v>145</v>
      </c>
      <c r="C45" s="5" t="s">
        <v>308</v>
      </c>
      <c r="D45" s="5"/>
      <c r="E45" s="5"/>
      <c r="F45" t="s">
        <v>56</v>
      </c>
      <c r="G45" t="s">
        <v>33</v>
      </c>
      <c r="H45" t="s">
        <v>161</v>
      </c>
      <c r="I45">
        <v>61000</v>
      </c>
      <c r="J45">
        <v>-6</v>
      </c>
      <c r="K45" t="s">
        <v>28</v>
      </c>
      <c r="L45" t="s">
        <v>53</v>
      </c>
      <c r="M45">
        <v>63000</v>
      </c>
      <c r="N45">
        <v>120</v>
      </c>
    </row>
    <row r="46" spans="1:14" x14ac:dyDescent="0.35">
      <c r="A46" s="2">
        <v>45931</v>
      </c>
      <c r="B46" t="s">
        <v>145</v>
      </c>
      <c r="C46" s="5" t="s">
        <v>310</v>
      </c>
      <c r="D46" s="5"/>
      <c r="E46" s="5"/>
      <c r="F46" t="s">
        <v>206</v>
      </c>
      <c r="G46" t="s">
        <v>33</v>
      </c>
      <c r="H46" t="s">
        <v>241</v>
      </c>
      <c r="I46">
        <v>52900</v>
      </c>
      <c r="J46">
        <v>-6</v>
      </c>
      <c r="K46" t="s">
        <v>65</v>
      </c>
      <c r="L46" t="s">
        <v>35</v>
      </c>
      <c r="M46">
        <v>52900</v>
      </c>
      <c r="N46">
        <v>-6</v>
      </c>
    </row>
    <row r="47" spans="1:14" x14ac:dyDescent="0.35">
      <c r="A47" s="2">
        <v>45931</v>
      </c>
      <c r="B47" t="s">
        <v>145</v>
      </c>
      <c r="C47" s="5" t="s">
        <v>310</v>
      </c>
      <c r="D47" s="5"/>
      <c r="E47" s="5"/>
      <c r="F47" t="s">
        <v>206</v>
      </c>
      <c r="G47" t="s">
        <v>33</v>
      </c>
      <c r="H47" t="s">
        <v>246</v>
      </c>
      <c r="I47">
        <v>42000</v>
      </c>
      <c r="J47">
        <v>-6</v>
      </c>
      <c r="K47" t="s">
        <v>65</v>
      </c>
      <c r="L47" t="s">
        <v>35</v>
      </c>
      <c r="M47">
        <v>42000</v>
      </c>
      <c r="N47">
        <v>-6</v>
      </c>
    </row>
    <row r="48" spans="1:14" x14ac:dyDescent="0.35">
      <c r="A48" s="2">
        <v>45931</v>
      </c>
      <c r="B48" t="s">
        <v>145</v>
      </c>
      <c r="C48" s="5" t="s">
        <v>310</v>
      </c>
      <c r="D48" s="5"/>
      <c r="E48" s="5"/>
      <c r="F48" t="s">
        <v>206</v>
      </c>
      <c r="G48" t="s">
        <v>33</v>
      </c>
      <c r="H48" t="s">
        <v>246</v>
      </c>
      <c r="I48">
        <v>49900</v>
      </c>
      <c r="J48">
        <v>-6</v>
      </c>
      <c r="K48" t="s">
        <v>65</v>
      </c>
      <c r="L48" t="s">
        <v>35</v>
      </c>
      <c r="M48">
        <v>49900</v>
      </c>
      <c r="N48">
        <v>-6</v>
      </c>
    </row>
    <row r="49" spans="1:14" x14ac:dyDescent="0.35">
      <c r="A49" s="2">
        <v>45931</v>
      </c>
      <c r="B49" t="s">
        <v>145</v>
      </c>
      <c r="C49" s="5" t="s">
        <v>310</v>
      </c>
      <c r="D49" s="5"/>
      <c r="E49" s="5"/>
      <c r="F49" t="s">
        <v>206</v>
      </c>
      <c r="G49" t="s">
        <v>33</v>
      </c>
      <c r="H49" t="s">
        <v>246</v>
      </c>
      <c r="I49">
        <v>49900</v>
      </c>
      <c r="J49">
        <v>-6</v>
      </c>
      <c r="K49" t="s">
        <v>65</v>
      </c>
      <c r="L49" t="s">
        <v>35</v>
      </c>
      <c r="M49">
        <v>49900</v>
      </c>
      <c r="N49">
        <v>-6</v>
      </c>
    </row>
    <row r="50" spans="1:14" x14ac:dyDescent="0.35">
      <c r="A50" s="2">
        <v>45938</v>
      </c>
      <c r="B50" t="s">
        <v>145</v>
      </c>
      <c r="C50" s="5" t="s">
        <v>313</v>
      </c>
      <c r="D50" s="5"/>
      <c r="E50" s="5"/>
      <c r="F50" t="s">
        <v>56</v>
      </c>
      <c r="G50" t="s">
        <v>33</v>
      </c>
      <c r="H50" t="s">
        <v>307</v>
      </c>
      <c r="I50">
        <v>89000</v>
      </c>
      <c r="J50">
        <v>-6</v>
      </c>
      <c r="K50" t="s">
        <v>28</v>
      </c>
      <c r="L50" t="s">
        <v>53</v>
      </c>
      <c r="M50">
        <v>92000</v>
      </c>
      <c r="N50">
        <v>120</v>
      </c>
    </row>
    <row r="51" spans="1:14" x14ac:dyDescent="0.35">
      <c r="A51" s="2">
        <v>45938</v>
      </c>
      <c r="B51" t="s">
        <v>145</v>
      </c>
      <c r="C51" s="5" t="s">
        <v>314</v>
      </c>
      <c r="D51" s="5"/>
      <c r="E51" s="5"/>
      <c r="F51" t="s">
        <v>56</v>
      </c>
      <c r="G51" t="s">
        <v>33</v>
      </c>
      <c r="H51" t="s">
        <v>307</v>
      </c>
      <c r="I51">
        <v>100000</v>
      </c>
      <c r="J51">
        <v>-6</v>
      </c>
      <c r="K51" t="s">
        <v>28</v>
      </c>
      <c r="L51" t="s">
        <v>53</v>
      </c>
      <c r="M51">
        <v>103000</v>
      </c>
      <c r="N51">
        <v>120</v>
      </c>
    </row>
    <row r="52" spans="1:14" x14ac:dyDescent="0.35">
      <c r="A52" s="2">
        <v>45938</v>
      </c>
      <c r="B52" t="s">
        <v>145</v>
      </c>
      <c r="C52" s="5" t="s">
        <v>315</v>
      </c>
      <c r="D52" s="5"/>
      <c r="E52" s="5"/>
      <c r="F52" t="s">
        <v>56</v>
      </c>
      <c r="G52" t="s">
        <v>33</v>
      </c>
      <c r="H52" t="s">
        <v>272</v>
      </c>
      <c r="I52">
        <v>98430</v>
      </c>
      <c r="J52">
        <v>-6</v>
      </c>
      <c r="K52" t="s">
        <v>52</v>
      </c>
      <c r="L52" t="s">
        <v>53</v>
      </c>
      <c r="M52">
        <v>100500</v>
      </c>
      <c r="N52">
        <v>120</v>
      </c>
    </row>
    <row r="53" spans="1:14" x14ac:dyDescent="0.35">
      <c r="A53" s="2">
        <v>45939</v>
      </c>
      <c r="B53" t="s">
        <v>145</v>
      </c>
      <c r="C53" s="5" t="s">
        <v>320</v>
      </c>
      <c r="D53" s="5"/>
      <c r="E53" s="5"/>
      <c r="F53" t="s">
        <v>206</v>
      </c>
      <c r="G53" t="s">
        <v>33</v>
      </c>
      <c r="H53" t="s">
        <v>246</v>
      </c>
      <c r="I53">
        <v>37000</v>
      </c>
      <c r="J53">
        <v>-6</v>
      </c>
      <c r="K53" t="s">
        <v>65</v>
      </c>
      <c r="L53" t="s">
        <v>35</v>
      </c>
      <c r="M53">
        <v>37000</v>
      </c>
      <c r="N53">
        <v>-6</v>
      </c>
    </row>
    <row r="54" spans="1:14" x14ac:dyDescent="0.35">
      <c r="A54" s="2">
        <v>45939</v>
      </c>
      <c r="B54" t="s">
        <v>145</v>
      </c>
      <c r="C54" s="5" t="s">
        <v>321</v>
      </c>
      <c r="D54" s="5"/>
      <c r="E54" s="5"/>
      <c r="F54" t="s">
        <v>206</v>
      </c>
      <c r="G54" t="s">
        <v>33</v>
      </c>
      <c r="H54" t="s">
        <v>246</v>
      </c>
      <c r="I54">
        <v>34000</v>
      </c>
      <c r="J54">
        <v>-6</v>
      </c>
      <c r="K54" t="s">
        <v>65</v>
      </c>
      <c r="L54" t="s">
        <v>35</v>
      </c>
      <c r="M54">
        <v>34000</v>
      </c>
      <c r="N54">
        <v>-6</v>
      </c>
    </row>
    <row r="55" spans="1:14" x14ac:dyDescent="0.35">
      <c r="A55" s="2">
        <v>45939</v>
      </c>
      <c r="B55" t="s">
        <v>145</v>
      </c>
      <c r="C55" s="5" t="s">
        <v>323</v>
      </c>
      <c r="D55" s="5"/>
      <c r="E55" s="5"/>
      <c r="F55" t="s">
        <v>206</v>
      </c>
      <c r="G55" t="s">
        <v>33</v>
      </c>
      <c r="H55" t="s">
        <v>324</v>
      </c>
      <c r="I55">
        <v>28250</v>
      </c>
      <c r="J55">
        <v>-6</v>
      </c>
      <c r="K55" t="s">
        <v>65</v>
      </c>
      <c r="L55" t="s">
        <v>35</v>
      </c>
      <c r="M55">
        <v>28250</v>
      </c>
      <c r="N55">
        <v>-6</v>
      </c>
    </row>
    <row r="56" spans="1:14" x14ac:dyDescent="0.35">
      <c r="A56" s="2">
        <v>45939</v>
      </c>
      <c r="B56" t="s">
        <v>145</v>
      </c>
      <c r="C56" s="5" t="s">
        <v>310</v>
      </c>
      <c r="D56" s="5"/>
      <c r="E56" s="5"/>
      <c r="F56" t="s">
        <v>206</v>
      </c>
      <c r="G56" t="s">
        <v>33</v>
      </c>
      <c r="H56" t="s">
        <v>246</v>
      </c>
      <c r="I56">
        <v>41500</v>
      </c>
      <c r="J56">
        <v>-6</v>
      </c>
      <c r="K56" t="s">
        <v>65</v>
      </c>
      <c r="L56" t="s">
        <v>53</v>
      </c>
      <c r="M56">
        <v>43750</v>
      </c>
      <c r="N56">
        <v>120</v>
      </c>
    </row>
    <row r="57" spans="1:14" x14ac:dyDescent="0.35">
      <c r="A57" s="2">
        <v>45944</v>
      </c>
      <c r="B57" t="s">
        <v>145</v>
      </c>
      <c r="C57" s="5" t="s">
        <v>328</v>
      </c>
      <c r="D57" s="5"/>
      <c r="E57" s="5"/>
      <c r="F57" t="s">
        <v>56</v>
      </c>
      <c r="G57" t="s">
        <v>179</v>
      </c>
      <c r="H57" t="s">
        <v>161</v>
      </c>
      <c r="I57">
        <v>97000</v>
      </c>
      <c r="J57">
        <v>-6</v>
      </c>
      <c r="K57" t="s">
        <v>28</v>
      </c>
      <c r="L57" t="s">
        <v>53</v>
      </c>
      <c r="M57">
        <v>100000</v>
      </c>
      <c r="N57">
        <v>120</v>
      </c>
    </row>
    <row r="58" spans="1:14" x14ac:dyDescent="0.35">
      <c r="A58" s="2">
        <v>45944</v>
      </c>
      <c r="B58" t="s">
        <v>145</v>
      </c>
      <c r="C58" s="5" t="s">
        <v>328</v>
      </c>
      <c r="D58" s="5"/>
      <c r="E58" s="5"/>
      <c r="F58" t="s">
        <v>56</v>
      </c>
      <c r="G58" t="s">
        <v>179</v>
      </c>
      <c r="H58" t="s">
        <v>272</v>
      </c>
      <c r="I58">
        <v>97920</v>
      </c>
      <c r="J58">
        <v>-6</v>
      </c>
      <c r="K58" t="s">
        <v>52</v>
      </c>
      <c r="L58" t="s">
        <v>53</v>
      </c>
      <c r="M58">
        <v>100000</v>
      </c>
      <c r="N58">
        <v>120</v>
      </c>
    </row>
    <row r="59" spans="1:14" x14ac:dyDescent="0.35">
      <c r="A59" s="2">
        <v>45945</v>
      </c>
      <c r="B59" t="s">
        <v>145</v>
      </c>
      <c r="C59" s="5" t="s">
        <v>331</v>
      </c>
      <c r="D59" s="5"/>
      <c r="E59" s="5"/>
      <c r="F59" t="s">
        <v>56</v>
      </c>
      <c r="G59" t="s">
        <v>33</v>
      </c>
      <c r="H59" t="s">
        <v>65</v>
      </c>
      <c r="I59">
        <v>43651</v>
      </c>
      <c r="J59">
        <v>-6</v>
      </c>
      <c r="K59" t="s">
        <v>65</v>
      </c>
      <c r="L59" t="s">
        <v>53</v>
      </c>
      <c r="M59">
        <v>45000</v>
      </c>
      <c r="N59">
        <v>130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N4"/>
  <sheetViews>
    <sheetView workbookViewId="0"/>
  </sheetViews>
  <sheetFormatPr defaultRowHeight="14.5" x14ac:dyDescent="0.35"/>
  <cols>
    <col min="1" max="1" width="10.08984375" bestFit="1" customWidth="1"/>
  </cols>
  <sheetData>
    <row r="1" spans="1:14" ht="18.5" customHeight="1" x14ac:dyDescent="0.45">
      <c r="A1" s="1" t="s">
        <v>0</v>
      </c>
      <c r="B1" s="1" t="s">
        <v>1</v>
      </c>
      <c r="C1" s="1" t="s">
        <v>356</v>
      </c>
      <c r="D1" s="1" t="s">
        <v>5</v>
      </c>
      <c r="E1" s="1" t="s">
        <v>6</v>
      </c>
      <c r="F1" s="1" t="s">
        <v>357</v>
      </c>
      <c r="G1" s="1" t="s">
        <v>8</v>
      </c>
      <c r="H1" s="1" t="s">
        <v>9</v>
      </c>
      <c r="I1" s="1" t="s">
        <v>358</v>
      </c>
      <c r="J1" s="1" t="s">
        <v>15</v>
      </c>
      <c r="K1" s="1" t="s">
        <v>359</v>
      </c>
      <c r="L1" s="1"/>
    </row>
    <row r="2" spans="1:14" x14ac:dyDescent="0.35">
      <c r="A2" s="2">
        <v>45668</v>
      </c>
      <c r="B2" t="s">
        <v>175</v>
      </c>
      <c r="C2" s="5" t="s">
        <v>176</v>
      </c>
      <c r="D2" s="5"/>
      <c r="E2" s="5" t="s">
        <v>177</v>
      </c>
      <c r="F2" t="s">
        <v>178</v>
      </c>
      <c r="G2" t="s">
        <v>179</v>
      </c>
      <c r="H2" t="s">
        <v>180</v>
      </c>
      <c r="I2">
        <v>105000</v>
      </c>
      <c r="J2">
        <v>-6</v>
      </c>
      <c r="K2" t="s">
        <v>28</v>
      </c>
      <c r="L2" t="s">
        <v>53</v>
      </c>
      <c r="M2">
        <v>108000</v>
      </c>
      <c r="N2" t="s">
        <v>360</v>
      </c>
    </row>
    <row r="3" spans="1:14" x14ac:dyDescent="0.35">
      <c r="A3" s="2">
        <v>45668</v>
      </c>
      <c r="B3" t="s">
        <v>175</v>
      </c>
      <c r="C3" s="5" t="s">
        <v>181</v>
      </c>
      <c r="D3" s="5"/>
      <c r="E3" s="5" t="s">
        <v>182</v>
      </c>
      <c r="F3" t="s">
        <v>178</v>
      </c>
      <c r="G3" t="s">
        <v>179</v>
      </c>
      <c r="H3" t="s">
        <v>180</v>
      </c>
      <c r="I3">
        <v>64000</v>
      </c>
      <c r="J3">
        <v>-6</v>
      </c>
      <c r="K3" t="s">
        <v>28</v>
      </c>
      <c r="L3" t="s">
        <v>53</v>
      </c>
      <c r="M3">
        <v>66000</v>
      </c>
      <c r="N3" t="s">
        <v>360</v>
      </c>
    </row>
    <row r="4" spans="1:14" x14ac:dyDescent="0.35">
      <c r="A4" s="2">
        <v>45668</v>
      </c>
      <c r="B4" t="s">
        <v>175</v>
      </c>
      <c r="C4" s="5" t="s">
        <v>181</v>
      </c>
      <c r="D4" s="5"/>
      <c r="E4" s="5" t="s">
        <v>182</v>
      </c>
      <c r="F4" t="s">
        <v>178</v>
      </c>
      <c r="G4" t="s">
        <v>179</v>
      </c>
      <c r="H4" t="s">
        <v>34</v>
      </c>
      <c r="I4">
        <v>60000</v>
      </c>
      <c r="J4">
        <v>-6</v>
      </c>
      <c r="K4" t="s">
        <v>28</v>
      </c>
      <c r="L4" t="s">
        <v>53</v>
      </c>
      <c r="M4">
        <v>63000</v>
      </c>
      <c r="N4" t="s">
        <v>360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N2"/>
  <sheetViews>
    <sheetView workbookViewId="0"/>
  </sheetViews>
  <sheetFormatPr defaultRowHeight="14.5" x14ac:dyDescent="0.35"/>
  <cols>
    <col min="1" max="1" width="10.08984375" bestFit="1" customWidth="1"/>
  </cols>
  <sheetData>
    <row r="1" spans="1:14" ht="18.5" customHeight="1" x14ac:dyDescent="0.45">
      <c r="A1" s="1" t="s">
        <v>0</v>
      </c>
      <c r="B1" s="1" t="s">
        <v>1</v>
      </c>
      <c r="C1" s="1" t="s">
        <v>356</v>
      </c>
      <c r="D1" s="1" t="s">
        <v>5</v>
      </c>
      <c r="E1" s="1" t="s">
        <v>6</v>
      </c>
      <c r="F1" s="1" t="s">
        <v>357</v>
      </c>
      <c r="G1" s="1" t="s">
        <v>8</v>
      </c>
      <c r="H1" s="1" t="s">
        <v>9</v>
      </c>
      <c r="I1" s="1" t="s">
        <v>358</v>
      </c>
      <c r="J1" s="1" t="s">
        <v>15</v>
      </c>
      <c r="K1" s="1" t="s">
        <v>359</v>
      </c>
      <c r="L1" s="1"/>
    </row>
    <row r="2" spans="1:14" x14ac:dyDescent="0.35">
      <c r="A2" s="2">
        <v>45682</v>
      </c>
      <c r="B2" t="s">
        <v>185</v>
      </c>
      <c r="C2" s="5"/>
      <c r="D2" s="5" t="s">
        <v>186</v>
      </c>
      <c r="E2" s="5"/>
      <c r="F2" t="s">
        <v>187</v>
      </c>
      <c r="G2" t="s">
        <v>179</v>
      </c>
      <c r="H2" t="s">
        <v>70</v>
      </c>
      <c r="I2">
        <v>31500</v>
      </c>
      <c r="J2">
        <v>-4</v>
      </c>
      <c r="K2" t="s">
        <v>28</v>
      </c>
      <c r="L2" t="s">
        <v>53</v>
      </c>
      <c r="M2">
        <v>33500</v>
      </c>
      <c r="N2">
        <v>-6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N3"/>
  <sheetViews>
    <sheetView workbookViewId="0"/>
  </sheetViews>
  <sheetFormatPr defaultRowHeight="14.5" x14ac:dyDescent="0.35"/>
  <cols>
    <col min="1" max="1" width="10.08984375" bestFit="1" customWidth="1"/>
    <col min="2" max="2" width="7.36328125" bestFit="1" customWidth="1"/>
  </cols>
  <sheetData>
    <row r="1" spans="1:14" ht="18.5" customHeight="1" x14ac:dyDescent="0.45">
      <c r="A1" s="1" t="s">
        <v>0</v>
      </c>
      <c r="B1" s="1" t="s">
        <v>1</v>
      </c>
      <c r="C1" s="1" t="s">
        <v>356</v>
      </c>
      <c r="D1" s="1" t="s">
        <v>5</v>
      </c>
      <c r="E1" s="1" t="s">
        <v>6</v>
      </c>
      <c r="F1" s="1" t="s">
        <v>357</v>
      </c>
      <c r="G1" s="1" t="s">
        <v>8</v>
      </c>
      <c r="H1" s="1" t="s">
        <v>9</v>
      </c>
      <c r="I1" s="1" t="s">
        <v>358</v>
      </c>
      <c r="J1" s="1" t="s">
        <v>15</v>
      </c>
      <c r="K1" s="1" t="s">
        <v>359</v>
      </c>
      <c r="L1" s="1"/>
    </row>
    <row r="2" spans="1:14" x14ac:dyDescent="0.35">
      <c r="A2" s="2">
        <v>45703</v>
      </c>
      <c r="B2" t="s">
        <v>202</v>
      </c>
      <c r="C2" s="5" t="s">
        <v>203</v>
      </c>
      <c r="D2" s="5"/>
      <c r="E2" s="5"/>
      <c r="F2" t="s">
        <v>56</v>
      </c>
      <c r="G2" t="s">
        <v>33</v>
      </c>
      <c r="H2" t="s">
        <v>204</v>
      </c>
      <c r="I2">
        <v>51000</v>
      </c>
      <c r="J2">
        <v>-6</v>
      </c>
      <c r="K2" t="s">
        <v>28</v>
      </c>
      <c r="L2" t="s">
        <v>53</v>
      </c>
      <c r="M2">
        <v>53000</v>
      </c>
      <c r="N2">
        <v>-6</v>
      </c>
    </row>
    <row r="3" spans="1:14" x14ac:dyDescent="0.35">
      <c r="A3" s="2">
        <v>45703</v>
      </c>
      <c r="B3" t="s">
        <v>202</v>
      </c>
      <c r="C3" s="5" t="s">
        <v>203</v>
      </c>
      <c r="D3" s="5"/>
      <c r="E3" s="5"/>
      <c r="F3" t="s">
        <v>56</v>
      </c>
      <c r="G3" t="s">
        <v>33</v>
      </c>
      <c r="H3" t="s">
        <v>27</v>
      </c>
      <c r="I3">
        <v>51000</v>
      </c>
      <c r="J3">
        <v>-6</v>
      </c>
      <c r="K3" t="s">
        <v>28</v>
      </c>
      <c r="L3" t="s">
        <v>53</v>
      </c>
      <c r="M3">
        <v>53000</v>
      </c>
      <c r="N3">
        <v>-6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2:N3"/>
  <sheetViews>
    <sheetView workbookViewId="0"/>
  </sheetViews>
  <sheetFormatPr defaultRowHeight="14.5" x14ac:dyDescent="0.35"/>
  <cols>
    <col min="1" max="1" width="10.08984375" bestFit="1" customWidth="1"/>
    <col min="6" max="6" width="14.54296875" bestFit="1" customWidth="1"/>
  </cols>
  <sheetData>
    <row r="2" spans="1:14" x14ac:dyDescent="0.35">
      <c r="A2" s="2">
        <v>45796</v>
      </c>
      <c r="B2" t="s">
        <v>242</v>
      </c>
      <c r="C2" s="5" t="s">
        <v>205</v>
      </c>
      <c r="D2" s="5"/>
      <c r="E2" s="5"/>
      <c r="F2" t="s">
        <v>206</v>
      </c>
      <c r="G2" t="s">
        <v>33</v>
      </c>
      <c r="H2" t="s">
        <v>57</v>
      </c>
      <c r="I2">
        <v>42000</v>
      </c>
      <c r="J2">
        <v>-6</v>
      </c>
      <c r="K2" t="s">
        <v>28</v>
      </c>
      <c r="L2" t="s">
        <v>35</v>
      </c>
      <c r="M2">
        <v>42000</v>
      </c>
      <c r="N2">
        <v>-6</v>
      </c>
    </row>
    <row r="3" spans="1:14" x14ac:dyDescent="0.35">
      <c r="A3" s="2">
        <v>45796</v>
      </c>
      <c r="B3" t="s">
        <v>242</v>
      </c>
      <c r="C3" s="5" t="s">
        <v>243</v>
      </c>
      <c r="D3" s="5"/>
      <c r="E3" s="5"/>
      <c r="F3" t="s">
        <v>206</v>
      </c>
      <c r="G3" t="s">
        <v>33</v>
      </c>
      <c r="H3" t="s">
        <v>244</v>
      </c>
      <c r="I3">
        <v>72000</v>
      </c>
      <c r="J3">
        <v>-6</v>
      </c>
      <c r="K3" t="s">
        <v>28</v>
      </c>
      <c r="L3" t="s">
        <v>35</v>
      </c>
      <c r="M3">
        <v>72000</v>
      </c>
      <c r="N3">
        <v>-6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2:N2"/>
  <sheetViews>
    <sheetView workbookViewId="0"/>
  </sheetViews>
  <sheetFormatPr defaultRowHeight="14.5" x14ac:dyDescent="0.35"/>
  <cols>
    <col min="1" max="1" width="10.08984375" bestFit="1" customWidth="1"/>
  </cols>
  <sheetData>
    <row r="2" spans="1:14" x14ac:dyDescent="0.35">
      <c r="A2" s="2">
        <v>45879</v>
      </c>
      <c r="B2" t="s">
        <v>286</v>
      </c>
      <c r="C2" s="5" t="s">
        <v>287</v>
      </c>
      <c r="D2" s="5"/>
      <c r="E2" s="5"/>
      <c r="F2" t="s">
        <v>206</v>
      </c>
      <c r="G2" t="s">
        <v>50</v>
      </c>
      <c r="H2" t="s">
        <v>118</v>
      </c>
      <c r="I2">
        <v>100000</v>
      </c>
      <c r="J2">
        <v>-4</v>
      </c>
      <c r="L2" t="s">
        <v>35</v>
      </c>
      <c r="M2">
        <v>100000</v>
      </c>
      <c r="N2">
        <v>-6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DATA</vt:lpstr>
      <vt:lpstr>mq</vt:lpstr>
      <vt:lpstr>trillions</vt:lpstr>
      <vt:lpstr>princess</vt:lpstr>
      <vt:lpstr>rose cut</vt:lpstr>
      <vt:lpstr>round</vt:lpstr>
      <vt:lpstr>pan</vt:lpstr>
      <vt:lpstr>pie cut</vt:lpstr>
      <vt:lpstr>heart</vt:lpstr>
      <vt:lpstr>oval</vt:lpstr>
      <vt:lpstr>bag</vt:lpstr>
      <vt:lpstr>rose cut pan</vt:lpstr>
      <vt:lpstr>rose cut chakri</vt:lpstr>
      <vt:lpstr>tappers</vt:lpstr>
      <vt:lpstr>emrald</vt:lpstr>
      <vt:lpstr>sheild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Nirav Shah</dc:creator>
  <cp:lastModifiedBy>Nirav Shah</cp:lastModifiedBy>
  <dcterms:created xsi:type="dcterms:W3CDTF">2025-01-23T05:22:01Z</dcterms:created>
  <dcterms:modified xsi:type="dcterms:W3CDTF">2025-11-08T11:47:31Z</dcterms:modified>
</cp:coreProperties>
</file>